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2.svg" ContentType="image/svg+xml"/>
  <Override PartName="/xl/media/image4.svg" ContentType="image/svg+xml"/>
  <Override PartName="/xl/media/image6.svg" ContentType="image/svg+xml"/>
  <Override PartName="/xl/media/image8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50" tabRatio="500" activeTab="1"/>
  </bookViews>
  <sheets>
    <sheet name="Traditional Methods for Effecti" sheetId="3" r:id="rId1"/>
    <sheet name="Embedded Microstrip Methods" sheetId="4" r:id="rId2"/>
    <sheet name="Sheet1" sheetId="1" r:id="rId3"/>
    <sheet name="Sheet2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<sst xmlns="http://schemas.openxmlformats.org/spreadsheetml/2006/main" count="263" uniqueCount="247">
  <si>
    <t>Traditional Methods for Effective Permittivity Calculation</t>
  </si>
  <si>
    <t>Microstrip Configuration</t>
  </si>
  <si>
    <t>Aproximate Equations</t>
  </si>
  <si>
    <t>Wheeler's Aproximation (1965)</t>
  </si>
  <si>
    <t>Hammerstad and Jensen Model (1980)</t>
  </si>
  <si>
    <t>Schneider Model (????)</t>
  </si>
  <si>
    <t>Kirschning and Jansen (1982)</t>
  </si>
  <si>
    <t>Stated Accuracy</t>
  </si>
  <si>
    <t>Equation</t>
  </si>
  <si>
    <t>Substrate Dielectric Constant (ε_sub)</t>
  </si>
  <si>
    <t>Any W, h</t>
  </si>
  <si>
    <t>t = 0</t>
  </si>
  <si>
    <t>t != 0</t>
  </si>
  <si>
    <t>ε0</t>
  </si>
  <si>
    <t>T</t>
  </si>
  <si>
    <t>H</t>
  </si>
  <si>
    <t>ε_sub</t>
  </si>
  <si>
    <t>W</t>
  </si>
  <si>
    <r>
      <rPr>
        <sz val="10"/>
        <rFont val="Calibri"/>
        <charset val="134"/>
      </rPr>
      <t>μ</t>
    </r>
    <r>
      <rPr>
        <sz val="10"/>
        <rFont val="Arial"/>
        <charset val="134"/>
      </rPr>
      <t>0</t>
    </r>
  </si>
  <si>
    <t>f_c</t>
  </si>
  <si>
    <t>ε_0</t>
  </si>
  <si>
    <t>εmut</t>
  </si>
  <si>
    <t>ε_MUT</t>
  </si>
  <si>
    <t>εsub</t>
  </si>
  <si>
    <r>
      <rPr>
        <sz val="11"/>
        <rFont val="Calibri"/>
        <charset val="134"/>
      </rPr>
      <t>μ</t>
    </r>
    <r>
      <rPr>
        <sz val="11"/>
        <rFont val="Arial"/>
        <charset val="134"/>
      </rPr>
      <t>0</t>
    </r>
  </si>
  <si>
    <t>Light Speed</t>
  </si>
  <si>
    <t>SUB Relative Permittivity</t>
  </si>
  <si>
    <t>Vacuum permittivity</t>
  </si>
  <si>
    <t>Line Lenght</t>
  </si>
  <si>
    <t>MUT Relative Permittivity</t>
  </si>
  <si>
    <t>Frequency (GHz)</t>
  </si>
  <si>
    <t>S21</t>
  </si>
  <si>
    <t>S11</t>
  </si>
  <si>
    <t>Frequency (rad/s)</t>
  </si>
  <si>
    <t>Wavelenght (m)</t>
  </si>
  <si>
    <t>Calculated &amp; Unwrapped Phase</t>
  </si>
  <si>
    <t>Unwraped Phase (rad)</t>
  </si>
  <si>
    <t>Phase Constant</t>
  </si>
  <si>
    <t>Effective Permittivity – Phase</t>
  </si>
  <si>
    <t>Group Delay</t>
  </si>
  <si>
    <t>Effective Permittivity – Group Delay</t>
  </si>
  <si>
    <t>SUB Energy Stored</t>
  </si>
  <si>
    <t>MUT Energy Stored</t>
  </si>
  <si>
    <t>Effective Permittivity – Stored Energy</t>
  </si>
  <si>
    <t>Effective Permittivity – Veelerita</t>
  </si>
  <si>
    <t>0.35258-0.93439i</t>
  </si>
  <si>
    <t>0.044513+0.017308i</t>
  </si>
  <si>
    <t>0.33514-0.94050i</t>
  </si>
  <si>
    <t>0.044321+0.016097i</t>
  </si>
  <si>
    <t>0.31771-0.94629i</t>
  </si>
  <si>
    <t>0.044071+0.014904i</t>
  </si>
  <si>
    <t>0.30031-0.95175i</t>
  </si>
  <si>
    <t>0.043761+0.013734i</t>
  </si>
  <si>
    <t>0.28293-0.95688i</t>
  </si>
  <si>
    <t>0.043395+0.012590i</t>
  </si>
  <si>
    <t>0.26559-0.96170i</t>
  </si>
  <si>
    <t>0.042973+0.011476i</t>
  </si>
  <si>
    <t>0.24828-0.96620i</t>
  </si>
  <si>
    <t>0.042498+0.010396i</t>
  </si>
  <si>
    <t>0.23102-0.97038i</t>
  </si>
  <si>
    <t>0.041971+0.0093531i</t>
  </si>
  <si>
    <t>0.21380-0.97425i</t>
  </si>
  <si>
    <t>0.041396+0.0083510i</t>
  </si>
  <si>
    <t>0.19664-0.97781i</t>
  </si>
  <si>
    <t>0.040776+0.0073922i</t>
  </si>
  <si>
    <t>0.17954-0.98107i</t>
  </si>
  <si>
    <t>0.040113+0.0064789i</t>
  </si>
  <si>
    <t>0.16249-0.98403i</t>
  </si>
  <si>
    <t>0.039412+0.0056132i</t>
  </si>
  <si>
    <t>0.14551-0.98669i</t>
  </si>
  <si>
    <t>0.038676+0.0047963i</t>
  </si>
  <si>
    <t>0.12860-0.98906i</t>
  </si>
  <si>
    <t>0.037908+0.0040295i</t>
  </si>
  <si>
    <t>0.11176-0.99113i</t>
  </si>
  <si>
    <t>0.037111+0.0033133i</t>
  </si>
  <si>
    <t>0.094999-0.99292i</t>
  </si>
  <si>
    <t>0.036290+0.0026479i</t>
  </si>
  <si>
    <t>0.078314-0.99443i</t>
  </si>
  <si>
    <t>0.035446+0.0020332i</t>
  </si>
  <si>
    <t>0.061711-0.99566i</t>
  </si>
  <si>
    <t>0.034585+0.0014689i</t>
  </si>
  <si>
    <t>0.045191-0.99662i</t>
  </si>
  <si>
    <t>0.033707+9.5426E-4i</t>
  </si>
  <si>
    <t>0.028758-0.99730i</t>
  </si>
  <si>
    <t>0.032815+4.8836E-4i</t>
  </si>
  <si>
    <t>0.012414-0.99771i</t>
  </si>
  <si>
    <t>0.031912+7.0130E-5i</t>
  </si>
  <si>
    <t>-0.0038390-0.99787i</t>
  </si>
  <si>
    <t>0.031001-3.0165E-4i</t>
  </si>
  <si>
    <t>-0.019999-0.99776i</t>
  </si>
  <si>
    <t>0.030082-6.2829E-4i</t>
  </si>
  <si>
    <t>-0.036065-0.99740i</t>
  </si>
  <si>
    <t>0.029156-9.1116E-4i</t>
  </si>
  <si>
    <t>-0.052035-0.99678i</t>
  </si>
  <si>
    <t>0.028227-0.0011517i</t>
  </si>
  <si>
    <t>-0.067908-0.99592i</t>
  </si>
  <si>
    <t>0.027294-0.0013512i</t>
  </si>
  <si>
    <t>-0.083682-0.99481i</t>
  </si>
  <si>
    <t>0.026357-0.0015111i</t>
  </si>
  <si>
    <t>-0.099357-0.99345i</t>
  </si>
  <si>
    <t>0.025419-0.0016327i</t>
  </si>
  <si>
    <t>-0.11493-0.99186i</t>
  </si>
  <si>
    <t>0.024479-0.0017172i</t>
  </si>
  <si>
    <t>-0.13041-0.99004i</t>
  </si>
  <si>
    <t>0.023538-0.0017659i</t>
  </si>
  <si>
    <t>-0.14578-0.98798i</t>
  </si>
  <si>
    <t>0.022595-0.0017796i</t>
  </si>
  <si>
    <t>-0.16105-0.98569i</t>
  </si>
  <si>
    <t>0.021651-0.0017595i</t>
  </si>
  <si>
    <t>-0.17622-0.98318i</t>
  </si>
  <si>
    <t>0.020705-0.0017063i</t>
  </si>
  <si>
    <t>-0.19129-0.98044i</t>
  </si>
  <si>
    <t>0.019758-0.0016208i</t>
  </si>
  <si>
    <t>-0.20626-0.97748i</t>
  </si>
  <si>
    <t>0.018809-0.0015035i</t>
  </si>
  <si>
    <t>-0.22112-0.97430i</t>
  </si>
  <si>
    <t>0.017857-0.0013550i</t>
  </si>
  <si>
    <t>-0.23589-0.97090i</t>
  </si>
  <si>
    <t>0.016903-0.0011756i</t>
  </si>
  <si>
    <t>-0.25055-0.96729i</t>
  </si>
  <si>
    <t>0.015946-9.6554E-4i</t>
  </si>
  <si>
    <t>-0.26511-0.96346i</t>
  </si>
  <si>
    <t>0.014986-7.2499E-4i</t>
  </si>
  <si>
    <t>-0.27958-0.95943i</t>
  </si>
  <si>
    <t>0.014021-4.5396E-4i</t>
  </si>
  <si>
    <t>-0.29394-0.95518i</t>
  </si>
  <si>
    <t>0.013053-1.5235E-4i</t>
  </si>
  <si>
    <t>-0.30820-0.95073i</t>
  </si>
  <si>
    <t>0.012079+1.8004E-4i</t>
  </si>
  <si>
    <t>-0.32237-0.94606i</t>
  </si>
  <si>
    <t>0.011101+5.4349E-4i</t>
  </si>
  <si>
    <t>-0.33644-0.94120i</t>
  </si>
  <si>
    <t>0.010116+9.3840E-4i</t>
  </si>
  <si>
    <t>-0.35041-0.93612i</t>
  </si>
  <si>
    <t>0.0091263+0.0013653i</t>
  </si>
  <si>
    <t>-0.36428-0.93084i</t>
  </si>
  <si>
    <t>0.0081300+0.0018246i</t>
  </si>
  <si>
    <t>-0.37806-0.92536i</t>
  </si>
  <si>
    <t>0.0071274+0.0023172i</t>
  </si>
  <si>
    <t>-0.39174-0.91967i</t>
  </si>
  <si>
    <t>0.0061181+0.0028437i</t>
  </si>
  <si>
    <t>-0.40532-0.91378i</t>
  </si>
  <si>
    <t>0.0051021+0.0034048i</t>
  </si>
  <si>
    <t>-0.41881-0.90768i</t>
  </si>
  <si>
    <t>0.0040791+0.0040016i</t>
  </si>
  <si>
    <t>-0.43221-0.90138i</t>
  </si>
  <si>
    <t>0.0030494+0.0046349i</t>
  </si>
  <si>
    <t>-0.44551-0.89487i</t>
  </si>
  <si>
    <t>0.0020128+0.0053058i</t>
  </si>
  <si>
    <t>-0.45872-0.88816i</t>
  </si>
  <si>
    <t>9.6952E-4+0.0060152i</t>
  </si>
  <si>
    <t>-0.47184-0.88125i</t>
  </si>
  <si>
    <t>-8.0229E-5+0.0067643i</t>
  </si>
  <si>
    <t>-0.48485-0.87412i</t>
  </si>
  <si>
    <t>-0.0011362+0.0075542i</t>
  </si>
  <si>
    <t>-0.49778-0.86679i</t>
  </si>
  <si>
    <t>-0.0021979+0.0083861i</t>
  </si>
  <si>
    <t>-0.51061-0.85925i</t>
  </si>
  <si>
    <t>-0.0032650+0.0092613i</t>
  </si>
  <si>
    <t>-0.52334-0.85150i</t>
  </si>
  <si>
    <t>-0.0043368+0.010181i</t>
  </si>
  <si>
    <t>-0.53598-0.84354i</t>
  </si>
  <si>
    <t>-0.0054128+0.011146i</t>
  </si>
  <si>
    <t>-0.54853-0.83536i</t>
  </si>
  <si>
    <t>-0.0064921+0.012159i</t>
  </si>
  <si>
    <t>-0.56097-0.82698i</t>
  </si>
  <si>
    <t>-0.0075740+0.013219i</t>
  </si>
  <si>
    <t>-0.57332-0.81837i</t>
  </si>
  <si>
    <t>-0.0086574+0.014330i</t>
  </si>
  <si>
    <t>-0.58556-0.80955i</t>
  </si>
  <si>
    <t>-0.0097414+0.015491i</t>
  </si>
  <si>
    <t>-0.59771-0.80051i</t>
  </si>
  <si>
    <t>-0.010825+0.016705i</t>
  </si>
  <si>
    <t>-0.60975-0.79125i</t>
  </si>
  <si>
    <t>-0.011906+0.017972i</t>
  </si>
  <si>
    <t>-0.62169-0.78177i</t>
  </si>
  <si>
    <t>-0.012984+0.019294i</t>
  </si>
  <si>
    <t>-0.63352-0.77207i</t>
  </si>
  <si>
    <t>-0.014057+0.020672i</t>
  </si>
  <si>
    <t>-0.64524-0.76214i</t>
  </si>
  <si>
    <t>-0.015124+0.022107i</t>
  </si>
  <si>
    <t>-0.65685-0.75198i</t>
  </si>
  <si>
    <t>-0.016183+0.023600i</t>
  </si>
  <si>
    <t>-0.66835-0.74159i</t>
  </si>
  <si>
    <t>-0.017231+0.025153i</t>
  </si>
  <si>
    <t>-0.67973-0.73097i</t>
  </si>
  <si>
    <t>-0.018268+0.026767i</t>
  </si>
  <si>
    <t>-0.69099-0.72012i</t>
  </si>
  <si>
    <t>-0.019291+0.028442i</t>
  </si>
  <si>
    <t>-0.70213-0.70904i</t>
  </si>
  <si>
    <t>-0.020297+0.030179i</t>
  </si>
  <si>
    <t>-0.71314-0.69772i</t>
  </si>
  <si>
    <t>-0.021286+0.031980i</t>
  </si>
  <si>
    <t>-0.72402-0.68617i</t>
  </si>
  <si>
    <t>-0.022253+0.033845i</t>
  </si>
  <si>
    <t>-0.73477-0.67437i</t>
  </si>
  <si>
    <t>-0.023197+0.035774i</t>
  </si>
  <si>
    <t>-0.74538-0.66234i</t>
  </si>
  <si>
    <t>-0.024115+0.037769i</t>
  </si>
  <si>
    <t>-0.75585-0.65006i</t>
  </si>
  <si>
    <t>-0.025005+0.039829i</t>
  </si>
  <si>
    <t>-0.76618-0.63755i</t>
  </si>
  <si>
    <t>-0.025863+0.041955i</t>
  </si>
  <si>
    <t>-0.77635-0.62479i</t>
  </si>
  <si>
    <t>-0.026687+0.044147i</t>
  </si>
  <si>
    <t>-0.78637-0.61179i</t>
  </si>
  <si>
    <t>-0.027474+0.046404i</t>
  </si>
  <si>
    <t>-0.79623-0.59855i</t>
  </si>
  <si>
    <t>-0.028221+0.048728i</t>
  </si>
  <si>
    <t>-0.80593-0.58506i</t>
  </si>
  <si>
    <t>-0.028925+0.051117i</t>
  </si>
  <si>
    <t>-0.81546-0.57133i</t>
  </si>
  <si>
    <t>-0.029582+0.053571i</t>
  </si>
  <si>
    <t>-0.82482-0.55735i</t>
  </si>
  <si>
    <t>-0.030190+0.056090i</t>
  </si>
  <si>
    <t>-0.83399-0.54313i</t>
  </si>
  <si>
    <t>-0.030746+0.058671i</t>
  </si>
  <si>
    <t>-0.84298-0.52866i</t>
  </si>
  <si>
    <t>-0.031245+0.061316i</t>
  </si>
  <si>
    <t>-0.85178-0.51396i</t>
  </si>
  <si>
    <t>-0.031686+0.064021i</t>
  </si>
  <si>
    <t>-0.86039-0.49901i</t>
  </si>
  <si>
    <t>-0.032065+0.066786i</t>
  </si>
  <si>
    <t>-0.86880-0.48382i</t>
  </si>
  <si>
    <t>-0.032378+0.069609i</t>
  </si>
  <si>
    <t>-0.87699-0.46838i</t>
  </si>
  <si>
    <t>-0.032623+0.072489i</t>
  </si>
  <si>
    <t>-0.88498-0.45271i</t>
  </si>
  <si>
    <t>-0.032796+0.075422i</t>
  </si>
  <si>
    <t>-0.89275-0.43681i</t>
  </si>
  <si>
    <t>-0.032895+0.078408i</t>
  </si>
  <si>
    <t>-0.90029-0.42066i</t>
  </si>
  <si>
    <t>-0.032917+0.081443i</t>
  </si>
  <si>
    <t>-0.90761-0.40429i</t>
  </si>
  <si>
    <t>-0.032858+0.084525i</t>
  </si>
  <si>
    <t>-0.91469-0.38768i</t>
  </si>
  <si>
    <t>-0.032716+0.087650i</t>
  </si>
  <si>
    <t>-0.92153-0.37085i</t>
  </si>
  <si>
    <t>-0.032489+0.090817i</t>
  </si>
  <si>
    <t>-0.92812-0.35379i</t>
  </si>
  <si>
    <t>-0.032174+0.094021i</t>
  </si>
  <si>
    <t>-0.93446-0.33651i</t>
  </si>
  <si>
    <t>-0.031769+0.097260i</t>
  </si>
  <si>
    <t>-0.94055-0.31901i</t>
  </si>
  <si>
    <t>-0.031271+0.10053i</t>
  </si>
  <si>
    <t>-0.94637-0.30129i</t>
  </si>
  <si>
    <t>-0.030680+0.10383i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</si>
</sst>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"/>
    <numFmt numFmtId="179" formatCode="0.00000E+00"/>
    <numFmt numFmtId="180" formatCode="0.000000"/>
    <numFmt numFmtId="181" formatCode="0.0000E+00"/>
    <numFmt numFmtId="182" formatCode="0.00000000000"/>
    <numFmt numFmtId="183" formatCode="0.000000000"/>
    <numFmt numFmtId="184" formatCode="0.000000E+00"/>
    <numFmt numFmtId="185" formatCode="0.00000000E+00"/>
    <numFmt numFmtId="186" formatCode="0.0000000"/>
    <numFmt numFmtId="187" formatCode="0.0000000E+00"/>
    <numFmt numFmtId="188" formatCode="#.0##0"/>
    <numFmt numFmtId="189" formatCode="#,000.000_);[Red]\(#,000.000\)"/>
    <numFmt numFmtId="190" formatCode="0.000000_);[Red]\(0.000000\)"/>
  </numFmts>
  <fonts count="29">
    <font>
      <sz val="10"/>
      <name val="Arial"/>
      <charset val="134"/>
    </font>
    <font>
      <b/>
      <sz val="12"/>
      <name val="Arial"/>
      <charset val="1"/>
    </font>
    <font>
      <sz val="10"/>
      <name val="Arial"/>
      <charset val="1"/>
    </font>
    <font>
      <b/>
      <sz val="22"/>
      <name val="Arial"/>
      <charset val="134"/>
    </font>
    <font>
      <b/>
      <sz val="18"/>
      <name val="Arial"/>
      <charset val="134"/>
    </font>
    <font>
      <b/>
      <sz val="10"/>
      <name val="Arial"/>
      <charset val="134"/>
    </font>
    <font>
      <sz val="11"/>
      <name val="Arial"/>
      <charset val="134"/>
    </font>
    <font>
      <u/>
      <sz val="11"/>
      <color rgb="FF0000FF"/>
      <name val="Arial"/>
      <charset val="0"/>
      <scheme val="minor"/>
    </font>
    <font>
      <sz val="11"/>
      <name val="Calibri"/>
      <charset val="134"/>
    </font>
    <font>
      <sz val="10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theme="2" tint="-0.0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7" borderId="1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18" applyNumberFormat="0" applyAlignment="0" applyProtection="0">
      <alignment vertical="center"/>
    </xf>
    <xf numFmtId="0" fontId="19" fillId="9" borderId="19" applyNumberFormat="0" applyAlignment="0" applyProtection="0">
      <alignment vertical="center"/>
    </xf>
    <xf numFmtId="0" fontId="20" fillId="9" borderId="18" applyNumberFormat="0" applyAlignment="0" applyProtection="0">
      <alignment vertical="center"/>
    </xf>
    <xf numFmtId="0" fontId="21" fillId="10" borderId="20" applyNumberFormat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93">
    <xf numFmtId="0" fontId="0" fillId="0" borderId="0" xfId="0"/>
    <xf numFmtId="0" fontId="1" fillId="0" borderId="0" xfId="0" applyFont="1" applyAlignment="1">
      <alignment horizontal="center" vertical="top" wrapText="1"/>
    </xf>
    <xf numFmtId="178" fontId="2" fillId="0" borderId="0" xfId="0" applyNumberFormat="1" applyFont="1" applyAlignment="1">
      <alignment horizontal="center"/>
    </xf>
    <xf numFmtId="179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79" fontId="2" fillId="0" borderId="0" xfId="0" applyNumberFormat="1" applyFont="1"/>
    <xf numFmtId="180" fontId="2" fillId="0" borderId="0" xfId="0" applyNumberFormat="1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81" fontId="2" fillId="0" borderId="0" xfId="0" applyNumberFormat="1" applyFont="1" applyAlignment="1">
      <alignment horizontal="center"/>
    </xf>
    <xf numFmtId="182" fontId="0" fillId="0" borderId="0" xfId="0" applyNumberFormat="1" applyAlignment="1">
      <alignment horizontal="center"/>
    </xf>
    <xf numFmtId="183" fontId="0" fillId="0" borderId="0" xfId="0" applyNumberFormat="1" applyAlignment="1">
      <alignment horizontal="center"/>
    </xf>
    <xf numFmtId="184" fontId="0" fillId="0" borderId="0" xfId="0" applyNumberFormat="1" applyAlignment="1">
      <alignment horizontal="center"/>
    </xf>
    <xf numFmtId="185" fontId="0" fillId="0" borderId="0" xfId="0" applyNumberFormat="1" applyAlignment="1">
      <alignment horizontal="center"/>
    </xf>
    <xf numFmtId="186" fontId="0" fillId="0" borderId="0" xfId="0" applyNumberFormat="1" applyAlignment="1">
      <alignment horizontal="center"/>
    </xf>
    <xf numFmtId="178" fontId="2" fillId="0" borderId="0" xfId="0" applyNumberFormat="1" applyFont="1" applyAlignment="1">
      <alignment horizontal="right"/>
    </xf>
    <xf numFmtId="179" fontId="2" fillId="0" borderId="0" xfId="0" applyNumberFormat="1" applyFont="1" applyAlignment="1">
      <alignment horizontal="left" wrapText="1"/>
    </xf>
    <xf numFmtId="179" fontId="2" fillId="2" borderId="0" xfId="0" applyNumberFormat="1" applyFont="1" applyFill="1" applyAlignment="1">
      <alignment wrapText="1"/>
    </xf>
    <xf numFmtId="179" fontId="2" fillId="0" borderId="0" xfId="0" applyNumberFormat="1" applyFont="1" applyAlignment="1">
      <alignment wrapText="1"/>
    </xf>
    <xf numFmtId="179" fontId="2" fillId="0" borderId="0" xfId="0" applyNumberFormat="1" applyFont="1" applyAlignment="1">
      <alignment horizontal="left"/>
    </xf>
    <xf numFmtId="179" fontId="2" fillId="2" borderId="0" xfId="0" applyNumberFormat="1" applyFont="1" applyFill="1"/>
    <xf numFmtId="178" fontId="2" fillId="2" borderId="0" xfId="0" applyNumberFormat="1" applyFont="1" applyFill="1" applyAlignment="1">
      <alignment horizontal="center"/>
    </xf>
    <xf numFmtId="179" fontId="2" fillId="2" borderId="0" xfId="0" applyNumberFormat="1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  <xf numFmtId="0" fontId="0" fillId="2" borderId="0" xfId="0" applyFill="1"/>
    <xf numFmtId="180" fontId="2" fillId="2" borderId="0" xfId="0" applyNumberFormat="1" applyFont="1" applyFill="1" applyAlignment="1">
      <alignment horizontal="center"/>
    </xf>
    <xf numFmtId="178" fontId="1" fillId="0" borderId="0" xfId="0" applyNumberFormat="1" applyFont="1" applyAlignment="1">
      <alignment horizontal="center" vertical="top" wrapText="1"/>
    </xf>
    <xf numFmtId="2" fontId="1" fillId="0" borderId="0" xfId="0" applyNumberFormat="1" applyFont="1" applyAlignment="1">
      <alignment horizontal="center" vertical="top" wrapText="1"/>
    </xf>
    <xf numFmtId="179" fontId="1" fillId="2" borderId="0" xfId="0" applyNumberFormat="1" applyFont="1" applyFill="1" applyAlignment="1">
      <alignment horizontal="center" vertical="top" wrapText="1"/>
    </xf>
    <xf numFmtId="179" fontId="1" fillId="0" borderId="0" xfId="0" applyNumberFormat="1" applyFont="1" applyAlignment="1">
      <alignment horizontal="center" vertical="top" wrapText="1"/>
    </xf>
    <xf numFmtId="180" fontId="1" fillId="0" borderId="0" xfId="0" applyNumberFormat="1" applyFont="1" applyAlignment="1">
      <alignment horizontal="center" vertical="top" wrapText="1"/>
    </xf>
    <xf numFmtId="180" fontId="0" fillId="0" borderId="0" xfId="0" applyNumberForma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181" fontId="2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 vertical="top" wrapText="1"/>
    </xf>
    <xf numFmtId="181" fontId="1" fillId="0" borderId="0" xfId="0" applyNumberFormat="1" applyFont="1" applyAlignment="1">
      <alignment horizontal="center" vertical="top" wrapText="1"/>
    </xf>
    <xf numFmtId="182" fontId="1" fillId="0" borderId="0" xfId="0" applyNumberFormat="1" applyFont="1" applyAlignment="1">
      <alignment horizontal="center" vertical="top" wrapText="1"/>
    </xf>
    <xf numFmtId="187" fontId="0" fillId="0" borderId="0" xfId="0" applyNumberFormat="1" applyAlignment="1">
      <alignment horizontal="center"/>
    </xf>
    <xf numFmtId="183" fontId="1" fillId="0" borderId="0" xfId="0" applyNumberFormat="1" applyFont="1" applyAlignment="1">
      <alignment horizontal="center" vertical="top" wrapText="1"/>
    </xf>
    <xf numFmtId="184" fontId="1" fillId="0" borderId="0" xfId="0" applyNumberFormat="1" applyFont="1" applyAlignment="1">
      <alignment horizontal="center" vertical="top" wrapText="1"/>
    </xf>
    <xf numFmtId="185" fontId="1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center" wrapText="1"/>
    </xf>
    <xf numFmtId="188" fontId="0" fillId="0" borderId="0" xfId="0" applyNumberFormat="1"/>
    <xf numFmtId="189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3" borderId="0" xfId="0" applyFill="1" applyAlignment="1"/>
    <xf numFmtId="0" fontId="0" fillId="4" borderId="0" xfId="0" applyFill="1" applyAlignment="1"/>
    <xf numFmtId="0" fontId="0" fillId="5" borderId="1" xfId="0" applyFill="1" applyBorder="1" applyAlignment="1"/>
    <xf numFmtId="0" fontId="0" fillId="5" borderId="2" xfId="0" applyFill="1" applyBorder="1" applyAlignment="1"/>
    <xf numFmtId="0" fontId="0" fillId="4" borderId="3" xfId="0" applyFill="1" applyBorder="1" applyAlignment="1"/>
    <xf numFmtId="0" fontId="5" fillId="0" borderId="3" xfId="0" applyFont="1" applyBorder="1" applyAlignment="1">
      <alignment horizontal="center" vertical="center"/>
    </xf>
    <xf numFmtId="0" fontId="0" fillId="6" borderId="0" xfId="0" applyFill="1" applyAlignment="1"/>
    <xf numFmtId="0" fontId="0" fillId="6" borderId="4" xfId="0" applyFill="1" applyBorder="1" applyAlignment="1"/>
    <xf numFmtId="0" fontId="0" fillId="6" borderId="5" xfId="0" applyFill="1" applyBorder="1" applyAlignment="1"/>
    <xf numFmtId="0" fontId="5" fillId="0" borderId="0" xfId="0" applyFont="1" applyAlignment="1">
      <alignment horizontal="center" vertical="center"/>
    </xf>
    <xf numFmtId="0" fontId="0" fillId="6" borderId="6" xfId="0" applyFill="1" applyBorder="1" applyAlignment="1"/>
    <xf numFmtId="0" fontId="5" fillId="0" borderId="6" xfId="0" applyFont="1" applyBorder="1" applyAlignment="1">
      <alignment horizontal="center" vertical="center"/>
    </xf>
    <xf numFmtId="0" fontId="0" fillId="5" borderId="0" xfId="0" applyFill="1" applyAlignment="1"/>
    <xf numFmtId="0" fontId="0" fillId="5" borderId="4" xfId="0" applyFill="1" applyBorder="1" applyAlignment="1"/>
    <xf numFmtId="0" fontId="0" fillId="5" borderId="5" xfId="0" applyFill="1" applyBorder="1" applyAlignment="1"/>
    <xf numFmtId="0" fontId="0" fillId="0" borderId="4" xfId="0" applyBorder="1"/>
    <xf numFmtId="0" fontId="0" fillId="0" borderId="5" xfId="0" applyBorder="1"/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90" fontId="6" fillId="0" borderId="0" xfId="0" applyNumberFormat="1" applyFont="1"/>
    <xf numFmtId="184" fontId="6" fillId="0" borderId="0" xfId="0" applyNumberFormat="1" applyFont="1" applyAlignment="1">
      <alignment horizontal="left" vertical="center"/>
    </xf>
    <xf numFmtId="190" fontId="7" fillId="0" borderId="0" xfId="6" applyNumberFormat="1" applyFont="1" applyAlignment="1"/>
    <xf numFmtId="190" fontId="8" fillId="0" borderId="0" xfId="0" applyNumberFormat="1" applyFont="1"/>
    <xf numFmtId="11" fontId="6" fillId="0" borderId="0" xfId="0" applyNumberFormat="1" applyFont="1" applyAlignment="1">
      <alignment horizontal="left" vertical="center"/>
    </xf>
    <xf numFmtId="188" fontId="3" fillId="0" borderId="0" xfId="0" applyNumberFormat="1" applyFont="1" applyAlignment="1">
      <alignment horizontal="center"/>
    </xf>
    <xf numFmtId="189" fontId="3" fillId="0" borderId="0" xfId="0" applyNumberFormat="1" applyFont="1" applyAlignment="1">
      <alignment horizontal="center" vertical="center"/>
    </xf>
    <xf numFmtId="188" fontId="4" fillId="0" borderId="0" xfId="0" applyNumberFormat="1" applyFont="1" applyAlignment="1">
      <alignment horizontal="center"/>
    </xf>
    <xf numFmtId="189" fontId="4" fillId="0" borderId="0" xfId="0" applyNumberFormat="1" applyFont="1" applyAlignment="1">
      <alignment horizontal="center" vertical="center"/>
    </xf>
    <xf numFmtId="18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88" fontId="0" fillId="0" borderId="0" xfId="0" applyNumberFormat="1" applyAlignment="1">
      <alignment horizontal="center" vertical="center"/>
    </xf>
    <xf numFmtId="188" fontId="8" fillId="0" borderId="7" xfId="0" applyNumberFormat="1" applyFont="1" applyBorder="1"/>
    <xf numFmtId="189" fontId="0" fillId="0" borderId="8" xfId="0" applyNumberFormat="1" applyBorder="1" applyAlignment="1">
      <alignment horizontal="center" vertical="center"/>
    </xf>
    <xf numFmtId="189" fontId="0" fillId="0" borderId="9" xfId="0" applyNumberFormat="1" applyBorder="1" applyAlignment="1">
      <alignment horizontal="center" vertical="center"/>
    </xf>
    <xf numFmtId="188" fontId="0" fillId="0" borderId="10" xfId="0" applyNumberFormat="1" applyBorder="1"/>
    <xf numFmtId="180" fontId="0" fillId="0" borderId="0" xfId="0" applyNumberFormat="1" applyAlignment="1">
      <alignment horizontal="center" vertical="center"/>
    </xf>
    <xf numFmtId="180" fontId="0" fillId="0" borderId="11" xfId="0" applyNumberFormat="1" applyBorder="1" applyAlignment="1">
      <alignment horizontal="center" vertical="center"/>
    </xf>
    <xf numFmtId="188" fontId="0" fillId="0" borderId="12" xfId="0" applyNumberFormat="1" applyBorder="1"/>
    <xf numFmtId="180" fontId="0" fillId="0" borderId="13" xfId="0" applyNumberFormat="1" applyBorder="1" applyAlignment="1">
      <alignment horizontal="center" vertical="center"/>
    </xf>
    <xf numFmtId="180" fontId="0" fillId="0" borderId="14" xfId="0" applyNumberFormat="1" applyBorder="1" applyAlignment="1">
      <alignment horizontal="center" vertical="center"/>
    </xf>
    <xf numFmtId="0" fontId="0" fillId="3" borderId="3" xfId="0" applyFill="1" applyBorder="1" applyAlignment="1"/>
    <xf numFmtId="190" fontId="0" fillId="0" borderId="0" xfId="0" applyNumberFormat="1"/>
    <xf numFmtId="184" fontId="0" fillId="0" borderId="0" xfId="0" applyNumberFormat="1" applyAlignment="1">
      <alignment horizontal="left" vertical="center"/>
    </xf>
    <xf numFmtId="190" fontId="7" fillId="0" borderId="0" xfId="6" applyNumberFormat="1" applyAlignment="1"/>
    <xf numFmtId="190" fontId="9" fillId="0" borderId="0" xfId="0" applyNumberFormat="1" applyFont="1"/>
    <xf numFmtId="11" fontId="0" fillId="0" borderId="0" xfId="0" applyNumberForma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D320"/>
      <rgbColor rgb="00FF9900"/>
      <rgbColor rgb="00FF420E"/>
      <rgbColor rgb="00666699"/>
      <rgbColor rgb="00B3B3B3"/>
      <rgbColor rgb="00004586"/>
      <rgbColor rgb="00579D1C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Sheet1!$K$5</c:f>
              <c:strCache>
                <c:ptCount val="1"/>
                <c:pt idx="0">
                  <c:v>Effective Permittivity – Phase</c:v>
                </c:pt>
              </c:strCache>
            </c:strRef>
          </c:tx>
          <c:spPr>
            <a:ln w="28800" cap="rnd" cmpd="sng" algn="ctr">
              <a:solidFill>
                <a:srgbClr val="004586"/>
              </a:solidFill>
              <a:prstDash val="solid"/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pt-BR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2880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numRef>
              <c:f>Sheet1!$A$6:$A$106</c:f>
              <c:numCache>
                <c:formatCode>0.0000</c:formatCode>
                <c:ptCount val="101"/>
                <c:pt idx="0" c:formatCode="0.0000">
                  <c:v>3</c:v>
                </c:pt>
                <c:pt idx="1" c:formatCode="0.0000">
                  <c:v>3.04</c:v>
                </c:pt>
                <c:pt idx="2" c:formatCode="0.0000">
                  <c:v>3.08</c:v>
                </c:pt>
                <c:pt idx="3" c:formatCode="0.0000">
                  <c:v>3.12</c:v>
                </c:pt>
                <c:pt idx="4" c:formatCode="0.0000">
                  <c:v>3.16</c:v>
                </c:pt>
                <c:pt idx="5" c:formatCode="0.0000">
                  <c:v>3.2</c:v>
                </c:pt>
                <c:pt idx="6" c:formatCode="0.0000">
                  <c:v>3.24</c:v>
                </c:pt>
                <c:pt idx="7" c:formatCode="0.0000">
                  <c:v>3.28</c:v>
                </c:pt>
                <c:pt idx="8" c:formatCode="0.0000">
                  <c:v>3.32</c:v>
                </c:pt>
                <c:pt idx="9" c:formatCode="0.0000">
                  <c:v>3.36</c:v>
                </c:pt>
                <c:pt idx="10" c:formatCode="0.0000">
                  <c:v>3.4</c:v>
                </c:pt>
                <c:pt idx="11" c:formatCode="0.0000">
                  <c:v>3.44</c:v>
                </c:pt>
                <c:pt idx="12" c:formatCode="0.0000">
                  <c:v>3.48</c:v>
                </c:pt>
                <c:pt idx="13" c:formatCode="0.0000">
                  <c:v>3.52</c:v>
                </c:pt>
                <c:pt idx="14" c:formatCode="0.0000">
                  <c:v>3.56</c:v>
                </c:pt>
                <c:pt idx="15" c:formatCode="0.0000">
                  <c:v>3.6</c:v>
                </c:pt>
                <c:pt idx="16" c:formatCode="0.0000">
                  <c:v>3.64</c:v>
                </c:pt>
                <c:pt idx="17" c:formatCode="0.0000">
                  <c:v>3.68</c:v>
                </c:pt>
                <c:pt idx="18" c:formatCode="0.0000">
                  <c:v>3.72</c:v>
                </c:pt>
                <c:pt idx="19" c:formatCode="0.0000">
                  <c:v>3.76</c:v>
                </c:pt>
                <c:pt idx="20" c:formatCode="0.0000">
                  <c:v>3.8</c:v>
                </c:pt>
                <c:pt idx="21" c:formatCode="0.0000">
                  <c:v>3.84</c:v>
                </c:pt>
                <c:pt idx="22" c:formatCode="0.0000">
                  <c:v>3.88</c:v>
                </c:pt>
                <c:pt idx="23" c:formatCode="0.0000">
                  <c:v>3.92</c:v>
                </c:pt>
                <c:pt idx="24" c:formatCode="0.0000">
                  <c:v>3.96</c:v>
                </c:pt>
                <c:pt idx="25" c:formatCode="0.0000">
                  <c:v>4</c:v>
                </c:pt>
                <c:pt idx="26" c:formatCode="0.0000">
                  <c:v>4.04</c:v>
                </c:pt>
                <c:pt idx="27" c:formatCode="0.0000">
                  <c:v>4.08</c:v>
                </c:pt>
                <c:pt idx="28" c:formatCode="0.0000">
                  <c:v>4.12</c:v>
                </c:pt>
                <c:pt idx="29" c:formatCode="0.0000">
                  <c:v>4.16</c:v>
                </c:pt>
                <c:pt idx="30" c:formatCode="0.0000">
                  <c:v>4.2</c:v>
                </c:pt>
                <c:pt idx="31" c:formatCode="0.0000">
                  <c:v>4.24</c:v>
                </c:pt>
                <c:pt idx="32" c:formatCode="0.0000">
                  <c:v>4.28</c:v>
                </c:pt>
                <c:pt idx="33" c:formatCode="0.0000">
                  <c:v>4.32</c:v>
                </c:pt>
                <c:pt idx="34" c:formatCode="0.0000">
                  <c:v>4.36</c:v>
                </c:pt>
                <c:pt idx="35" c:formatCode="0.0000">
                  <c:v>4.4</c:v>
                </c:pt>
                <c:pt idx="36" c:formatCode="0.0000">
                  <c:v>4.44</c:v>
                </c:pt>
                <c:pt idx="37" c:formatCode="0.0000">
                  <c:v>4.48</c:v>
                </c:pt>
                <c:pt idx="38" c:formatCode="0.0000">
                  <c:v>4.52</c:v>
                </c:pt>
                <c:pt idx="39" c:formatCode="0.0000">
                  <c:v>4.56</c:v>
                </c:pt>
                <c:pt idx="40" c:formatCode="0.0000">
                  <c:v>4.6</c:v>
                </c:pt>
                <c:pt idx="41" c:formatCode="0.0000">
                  <c:v>4.64</c:v>
                </c:pt>
                <c:pt idx="42" c:formatCode="0.0000">
                  <c:v>4.68</c:v>
                </c:pt>
                <c:pt idx="43" c:formatCode="0.0000">
                  <c:v>4.72</c:v>
                </c:pt>
                <c:pt idx="44" c:formatCode="0.0000">
                  <c:v>4.76</c:v>
                </c:pt>
                <c:pt idx="45" c:formatCode="0.0000">
                  <c:v>4.8</c:v>
                </c:pt>
                <c:pt idx="46" c:formatCode="0.0000">
                  <c:v>4.84</c:v>
                </c:pt>
                <c:pt idx="47" c:formatCode="0.0000">
                  <c:v>4.88</c:v>
                </c:pt>
                <c:pt idx="48" c:formatCode="0.0000">
                  <c:v>4.92</c:v>
                </c:pt>
                <c:pt idx="49" c:formatCode="0.0000">
                  <c:v>4.96</c:v>
                </c:pt>
                <c:pt idx="50" c:formatCode="0.0000">
                  <c:v>5</c:v>
                </c:pt>
                <c:pt idx="51" c:formatCode="0.0000">
                  <c:v>5.04</c:v>
                </c:pt>
                <c:pt idx="52" c:formatCode="0.0000">
                  <c:v>5.08</c:v>
                </c:pt>
                <c:pt idx="53" c:formatCode="0.0000">
                  <c:v>5.12</c:v>
                </c:pt>
                <c:pt idx="54" c:formatCode="0.0000">
                  <c:v>5.16</c:v>
                </c:pt>
                <c:pt idx="55" c:formatCode="0.0000">
                  <c:v>5.2</c:v>
                </c:pt>
                <c:pt idx="56" c:formatCode="0.0000">
                  <c:v>5.24</c:v>
                </c:pt>
                <c:pt idx="57" c:formatCode="0.0000">
                  <c:v>5.28</c:v>
                </c:pt>
                <c:pt idx="58" c:formatCode="0.0000">
                  <c:v>5.32</c:v>
                </c:pt>
                <c:pt idx="59" c:formatCode="0.0000">
                  <c:v>5.36</c:v>
                </c:pt>
                <c:pt idx="60" c:formatCode="0.0000">
                  <c:v>5.4</c:v>
                </c:pt>
                <c:pt idx="61" c:formatCode="0.0000">
                  <c:v>5.44</c:v>
                </c:pt>
                <c:pt idx="62" c:formatCode="0.0000">
                  <c:v>5.48</c:v>
                </c:pt>
                <c:pt idx="63" c:formatCode="0.0000">
                  <c:v>5.52</c:v>
                </c:pt>
                <c:pt idx="64" c:formatCode="0.0000">
                  <c:v>5.56</c:v>
                </c:pt>
                <c:pt idx="65" c:formatCode="0.0000">
                  <c:v>5.6</c:v>
                </c:pt>
                <c:pt idx="66" c:formatCode="0.0000">
                  <c:v>5.64</c:v>
                </c:pt>
                <c:pt idx="67" c:formatCode="0.0000">
                  <c:v>5.68</c:v>
                </c:pt>
                <c:pt idx="68" c:formatCode="0.0000">
                  <c:v>5.72</c:v>
                </c:pt>
                <c:pt idx="69" c:formatCode="0.0000">
                  <c:v>5.76</c:v>
                </c:pt>
                <c:pt idx="70" c:formatCode="0.0000">
                  <c:v>5.8</c:v>
                </c:pt>
                <c:pt idx="71" c:formatCode="0.0000">
                  <c:v>5.84</c:v>
                </c:pt>
                <c:pt idx="72" c:formatCode="0.0000">
                  <c:v>5.88</c:v>
                </c:pt>
                <c:pt idx="73" c:formatCode="0.0000">
                  <c:v>5.92</c:v>
                </c:pt>
                <c:pt idx="74" c:formatCode="0.0000">
                  <c:v>5.96</c:v>
                </c:pt>
                <c:pt idx="75" c:formatCode="0.0000">
                  <c:v>6</c:v>
                </c:pt>
                <c:pt idx="76" c:formatCode="0.0000">
                  <c:v>6.04</c:v>
                </c:pt>
                <c:pt idx="77" c:formatCode="0.0000">
                  <c:v>6.08</c:v>
                </c:pt>
                <c:pt idx="78" c:formatCode="0.0000">
                  <c:v>6.12</c:v>
                </c:pt>
                <c:pt idx="79" c:formatCode="0.0000">
                  <c:v>6.16</c:v>
                </c:pt>
                <c:pt idx="80" c:formatCode="0.0000">
                  <c:v>6.2</c:v>
                </c:pt>
                <c:pt idx="81" c:formatCode="0.0000">
                  <c:v>6.24</c:v>
                </c:pt>
                <c:pt idx="82" c:formatCode="0.0000">
                  <c:v>6.28</c:v>
                </c:pt>
                <c:pt idx="83" c:formatCode="0.0000">
                  <c:v>6.32</c:v>
                </c:pt>
                <c:pt idx="84" c:formatCode="0.0000">
                  <c:v>6.36</c:v>
                </c:pt>
                <c:pt idx="85" c:formatCode="0.0000">
                  <c:v>6.4</c:v>
                </c:pt>
                <c:pt idx="86" c:formatCode="0.0000">
                  <c:v>6.44</c:v>
                </c:pt>
                <c:pt idx="87" c:formatCode="0.0000">
                  <c:v>6.48</c:v>
                </c:pt>
                <c:pt idx="88" c:formatCode="0.0000">
                  <c:v>6.52</c:v>
                </c:pt>
                <c:pt idx="89" c:formatCode="0.0000">
                  <c:v>6.56</c:v>
                </c:pt>
                <c:pt idx="90" c:formatCode="0.0000">
                  <c:v>6.6</c:v>
                </c:pt>
                <c:pt idx="91" c:formatCode="0.0000">
                  <c:v>6.64</c:v>
                </c:pt>
                <c:pt idx="92" c:formatCode="0.0000">
                  <c:v>6.68</c:v>
                </c:pt>
                <c:pt idx="93" c:formatCode="0.0000">
                  <c:v>6.72</c:v>
                </c:pt>
                <c:pt idx="94" c:formatCode="0.0000">
                  <c:v>6.76</c:v>
                </c:pt>
                <c:pt idx="95" c:formatCode="0.0000">
                  <c:v>6.8</c:v>
                </c:pt>
                <c:pt idx="96" c:formatCode="0.0000">
                  <c:v>6.84</c:v>
                </c:pt>
                <c:pt idx="97" c:formatCode="0.0000">
                  <c:v>6.88</c:v>
                </c:pt>
                <c:pt idx="98" c:formatCode="0.0000">
                  <c:v>6.92</c:v>
                </c:pt>
                <c:pt idx="99" c:formatCode="0.0000">
                  <c:v>6.96</c:v>
                </c:pt>
                <c:pt idx="100" c:formatCode="0.0000">
                  <c:v>7</c:v>
                </c:pt>
              </c:numCache>
            </c:numRef>
          </c:cat>
          <c:val>
            <c:numRef>
              <c:f>Sheet1!$K$6:$K$106</c:f>
            </c:numRef>
          </c:val>
          <c:smooth val="0"/>
        </c:ser>
        <c:ser>
          <c:idx val="1"/>
          <c:order val="1"/>
          <c:tx>
            <c:strRef>
              <c:f>Sheet1!$N$5</c:f>
              <c:strCache>
                <c:ptCount val="1"/>
                <c:pt idx="0">
                  <c:v>Effective Permittivity – Group Delay</c:v>
                </c:pt>
              </c:strCache>
            </c:strRef>
          </c:tx>
          <c:spPr>
            <a:ln w="28800" cap="rnd" cmpd="sng" algn="ctr">
              <a:solidFill>
                <a:srgbClr val="FF420E"/>
              </a:solidFill>
              <a:prstDash val="solid"/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pt-BR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2880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numRef>
              <c:f>Sheet1!$A$6:$A$106</c:f>
              <c:numCache>
                <c:formatCode>0.0000</c:formatCode>
                <c:ptCount val="101"/>
                <c:pt idx="0" c:formatCode="0.0000">
                  <c:v>3</c:v>
                </c:pt>
                <c:pt idx="1" c:formatCode="0.0000">
                  <c:v>3.04</c:v>
                </c:pt>
                <c:pt idx="2" c:formatCode="0.0000">
                  <c:v>3.08</c:v>
                </c:pt>
                <c:pt idx="3" c:formatCode="0.0000">
                  <c:v>3.12</c:v>
                </c:pt>
                <c:pt idx="4" c:formatCode="0.0000">
                  <c:v>3.16</c:v>
                </c:pt>
                <c:pt idx="5" c:formatCode="0.0000">
                  <c:v>3.2</c:v>
                </c:pt>
                <c:pt idx="6" c:formatCode="0.0000">
                  <c:v>3.24</c:v>
                </c:pt>
                <c:pt idx="7" c:formatCode="0.0000">
                  <c:v>3.28</c:v>
                </c:pt>
                <c:pt idx="8" c:formatCode="0.0000">
                  <c:v>3.32</c:v>
                </c:pt>
                <c:pt idx="9" c:formatCode="0.0000">
                  <c:v>3.36</c:v>
                </c:pt>
                <c:pt idx="10" c:formatCode="0.0000">
                  <c:v>3.4</c:v>
                </c:pt>
                <c:pt idx="11" c:formatCode="0.0000">
                  <c:v>3.44</c:v>
                </c:pt>
                <c:pt idx="12" c:formatCode="0.0000">
                  <c:v>3.48</c:v>
                </c:pt>
                <c:pt idx="13" c:formatCode="0.0000">
                  <c:v>3.52</c:v>
                </c:pt>
                <c:pt idx="14" c:formatCode="0.0000">
                  <c:v>3.56</c:v>
                </c:pt>
                <c:pt idx="15" c:formatCode="0.0000">
                  <c:v>3.6</c:v>
                </c:pt>
                <c:pt idx="16" c:formatCode="0.0000">
                  <c:v>3.64</c:v>
                </c:pt>
                <c:pt idx="17" c:formatCode="0.0000">
                  <c:v>3.68</c:v>
                </c:pt>
                <c:pt idx="18" c:formatCode="0.0000">
                  <c:v>3.72</c:v>
                </c:pt>
                <c:pt idx="19" c:formatCode="0.0000">
                  <c:v>3.76</c:v>
                </c:pt>
                <c:pt idx="20" c:formatCode="0.0000">
                  <c:v>3.8</c:v>
                </c:pt>
                <c:pt idx="21" c:formatCode="0.0000">
                  <c:v>3.84</c:v>
                </c:pt>
                <c:pt idx="22" c:formatCode="0.0000">
                  <c:v>3.88</c:v>
                </c:pt>
                <c:pt idx="23" c:formatCode="0.0000">
                  <c:v>3.92</c:v>
                </c:pt>
                <c:pt idx="24" c:formatCode="0.0000">
                  <c:v>3.96</c:v>
                </c:pt>
                <c:pt idx="25" c:formatCode="0.0000">
                  <c:v>4</c:v>
                </c:pt>
                <c:pt idx="26" c:formatCode="0.0000">
                  <c:v>4.04</c:v>
                </c:pt>
                <c:pt idx="27" c:formatCode="0.0000">
                  <c:v>4.08</c:v>
                </c:pt>
                <c:pt idx="28" c:formatCode="0.0000">
                  <c:v>4.12</c:v>
                </c:pt>
                <c:pt idx="29" c:formatCode="0.0000">
                  <c:v>4.16</c:v>
                </c:pt>
                <c:pt idx="30" c:formatCode="0.0000">
                  <c:v>4.2</c:v>
                </c:pt>
                <c:pt idx="31" c:formatCode="0.0000">
                  <c:v>4.24</c:v>
                </c:pt>
                <c:pt idx="32" c:formatCode="0.0000">
                  <c:v>4.28</c:v>
                </c:pt>
                <c:pt idx="33" c:formatCode="0.0000">
                  <c:v>4.32</c:v>
                </c:pt>
                <c:pt idx="34" c:formatCode="0.0000">
                  <c:v>4.36</c:v>
                </c:pt>
                <c:pt idx="35" c:formatCode="0.0000">
                  <c:v>4.4</c:v>
                </c:pt>
                <c:pt idx="36" c:formatCode="0.0000">
                  <c:v>4.44</c:v>
                </c:pt>
                <c:pt idx="37" c:formatCode="0.0000">
                  <c:v>4.48</c:v>
                </c:pt>
                <c:pt idx="38" c:formatCode="0.0000">
                  <c:v>4.52</c:v>
                </c:pt>
                <c:pt idx="39" c:formatCode="0.0000">
                  <c:v>4.56</c:v>
                </c:pt>
                <c:pt idx="40" c:formatCode="0.0000">
                  <c:v>4.6</c:v>
                </c:pt>
                <c:pt idx="41" c:formatCode="0.0000">
                  <c:v>4.64</c:v>
                </c:pt>
                <c:pt idx="42" c:formatCode="0.0000">
                  <c:v>4.68</c:v>
                </c:pt>
                <c:pt idx="43" c:formatCode="0.0000">
                  <c:v>4.72</c:v>
                </c:pt>
                <c:pt idx="44" c:formatCode="0.0000">
                  <c:v>4.76</c:v>
                </c:pt>
                <c:pt idx="45" c:formatCode="0.0000">
                  <c:v>4.8</c:v>
                </c:pt>
                <c:pt idx="46" c:formatCode="0.0000">
                  <c:v>4.84</c:v>
                </c:pt>
                <c:pt idx="47" c:formatCode="0.0000">
                  <c:v>4.88</c:v>
                </c:pt>
                <c:pt idx="48" c:formatCode="0.0000">
                  <c:v>4.92</c:v>
                </c:pt>
                <c:pt idx="49" c:formatCode="0.0000">
                  <c:v>4.96</c:v>
                </c:pt>
                <c:pt idx="50" c:formatCode="0.0000">
                  <c:v>5</c:v>
                </c:pt>
                <c:pt idx="51" c:formatCode="0.0000">
                  <c:v>5.04</c:v>
                </c:pt>
                <c:pt idx="52" c:formatCode="0.0000">
                  <c:v>5.08</c:v>
                </c:pt>
                <c:pt idx="53" c:formatCode="0.0000">
                  <c:v>5.12</c:v>
                </c:pt>
                <c:pt idx="54" c:formatCode="0.0000">
                  <c:v>5.16</c:v>
                </c:pt>
                <c:pt idx="55" c:formatCode="0.0000">
                  <c:v>5.2</c:v>
                </c:pt>
                <c:pt idx="56" c:formatCode="0.0000">
                  <c:v>5.24</c:v>
                </c:pt>
                <c:pt idx="57" c:formatCode="0.0000">
                  <c:v>5.28</c:v>
                </c:pt>
                <c:pt idx="58" c:formatCode="0.0000">
                  <c:v>5.32</c:v>
                </c:pt>
                <c:pt idx="59" c:formatCode="0.0000">
                  <c:v>5.36</c:v>
                </c:pt>
                <c:pt idx="60" c:formatCode="0.0000">
                  <c:v>5.4</c:v>
                </c:pt>
                <c:pt idx="61" c:formatCode="0.0000">
                  <c:v>5.44</c:v>
                </c:pt>
                <c:pt idx="62" c:formatCode="0.0000">
                  <c:v>5.48</c:v>
                </c:pt>
                <c:pt idx="63" c:formatCode="0.0000">
                  <c:v>5.52</c:v>
                </c:pt>
                <c:pt idx="64" c:formatCode="0.0000">
                  <c:v>5.56</c:v>
                </c:pt>
                <c:pt idx="65" c:formatCode="0.0000">
                  <c:v>5.6</c:v>
                </c:pt>
                <c:pt idx="66" c:formatCode="0.0000">
                  <c:v>5.64</c:v>
                </c:pt>
                <c:pt idx="67" c:formatCode="0.0000">
                  <c:v>5.68</c:v>
                </c:pt>
                <c:pt idx="68" c:formatCode="0.0000">
                  <c:v>5.72</c:v>
                </c:pt>
                <c:pt idx="69" c:formatCode="0.0000">
                  <c:v>5.76</c:v>
                </c:pt>
                <c:pt idx="70" c:formatCode="0.0000">
                  <c:v>5.8</c:v>
                </c:pt>
                <c:pt idx="71" c:formatCode="0.0000">
                  <c:v>5.84</c:v>
                </c:pt>
                <c:pt idx="72" c:formatCode="0.0000">
                  <c:v>5.88</c:v>
                </c:pt>
                <c:pt idx="73" c:formatCode="0.0000">
                  <c:v>5.92</c:v>
                </c:pt>
                <c:pt idx="74" c:formatCode="0.0000">
                  <c:v>5.96</c:v>
                </c:pt>
                <c:pt idx="75" c:formatCode="0.0000">
                  <c:v>6</c:v>
                </c:pt>
                <c:pt idx="76" c:formatCode="0.0000">
                  <c:v>6.04</c:v>
                </c:pt>
                <c:pt idx="77" c:formatCode="0.0000">
                  <c:v>6.08</c:v>
                </c:pt>
                <c:pt idx="78" c:formatCode="0.0000">
                  <c:v>6.12</c:v>
                </c:pt>
                <c:pt idx="79" c:formatCode="0.0000">
                  <c:v>6.16</c:v>
                </c:pt>
                <c:pt idx="80" c:formatCode="0.0000">
                  <c:v>6.2</c:v>
                </c:pt>
                <c:pt idx="81" c:formatCode="0.0000">
                  <c:v>6.24</c:v>
                </c:pt>
                <c:pt idx="82" c:formatCode="0.0000">
                  <c:v>6.28</c:v>
                </c:pt>
                <c:pt idx="83" c:formatCode="0.0000">
                  <c:v>6.32</c:v>
                </c:pt>
                <c:pt idx="84" c:formatCode="0.0000">
                  <c:v>6.36</c:v>
                </c:pt>
                <c:pt idx="85" c:formatCode="0.0000">
                  <c:v>6.4</c:v>
                </c:pt>
                <c:pt idx="86" c:formatCode="0.0000">
                  <c:v>6.44</c:v>
                </c:pt>
                <c:pt idx="87" c:formatCode="0.0000">
                  <c:v>6.48</c:v>
                </c:pt>
                <c:pt idx="88" c:formatCode="0.0000">
                  <c:v>6.52</c:v>
                </c:pt>
                <c:pt idx="89" c:formatCode="0.0000">
                  <c:v>6.56</c:v>
                </c:pt>
                <c:pt idx="90" c:formatCode="0.0000">
                  <c:v>6.6</c:v>
                </c:pt>
                <c:pt idx="91" c:formatCode="0.0000">
                  <c:v>6.64</c:v>
                </c:pt>
                <c:pt idx="92" c:formatCode="0.0000">
                  <c:v>6.68</c:v>
                </c:pt>
                <c:pt idx="93" c:formatCode="0.0000">
                  <c:v>6.72</c:v>
                </c:pt>
                <c:pt idx="94" c:formatCode="0.0000">
                  <c:v>6.76</c:v>
                </c:pt>
                <c:pt idx="95" c:formatCode="0.0000">
                  <c:v>6.8</c:v>
                </c:pt>
                <c:pt idx="96" c:formatCode="0.0000">
                  <c:v>6.84</c:v>
                </c:pt>
                <c:pt idx="97" c:formatCode="0.0000">
                  <c:v>6.88</c:v>
                </c:pt>
                <c:pt idx="98" c:formatCode="0.0000">
                  <c:v>6.92</c:v>
                </c:pt>
                <c:pt idx="99" c:formatCode="0.0000">
                  <c:v>6.96</c:v>
                </c:pt>
                <c:pt idx="100" c:formatCode="0.0000">
                  <c:v>7</c:v>
                </c:pt>
              </c:numCache>
            </c:numRef>
          </c:cat>
          <c:val>
            <c:numRef>
              <c:f>Sheet1!$N$6:$N$106</c:f>
            </c:numRef>
          </c:val>
          <c:smooth val="0"/>
        </c:ser>
        <c:ser>
          <c:idx val="2"/>
          <c:order val="2"/>
          <c:tx>
            <c:strRef>
              <c:f>Sheet1!$T$5</c:f>
              <c:strCache>
                <c:ptCount val="1"/>
                <c:pt idx="0">
                  <c:v/>
                </c:pt>
              </c:strCache>
            </c:strRef>
          </c:tx>
          <c:spPr>
            <a:ln w="28800" cap="rnd" cmpd="sng" algn="ctr">
              <a:solidFill>
                <a:srgbClr val="FFD320"/>
              </a:solidFill>
              <a:prstDash val="solid"/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pt-BR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2880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numRef>
              <c:f>Sheet1!$A$6:$A$106</c:f>
              <c:numCache>
                <c:formatCode>0.0000</c:formatCode>
                <c:ptCount val="101"/>
                <c:pt idx="0" c:formatCode="0.0000">
                  <c:v>3</c:v>
                </c:pt>
                <c:pt idx="1" c:formatCode="0.0000">
                  <c:v>3.04</c:v>
                </c:pt>
                <c:pt idx="2" c:formatCode="0.0000">
                  <c:v>3.08</c:v>
                </c:pt>
                <c:pt idx="3" c:formatCode="0.0000">
                  <c:v>3.12</c:v>
                </c:pt>
                <c:pt idx="4" c:formatCode="0.0000">
                  <c:v>3.16</c:v>
                </c:pt>
                <c:pt idx="5" c:formatCode="0.0000">
                  <c:v>3.2</c:v>
                </c:pt>
                <c:pt idx="6" c:formatCode="0.0000">
                  <c:v>3.24</c:v>
                </c:pt>
                <c:pt idx="7" c:formatCode="0.0000">
                  <c:v>3.28</c:v>
                </c:pt>
                <c:pt idx="8" c:formatCode="0.0000">
                  <c:v>3.32</c:v>
                </c:pt>
                <c:pt idx="9" c:formatCode="0.0000">
                  <c:v>3.36</c:v>
                </c:pt>
                <c:pt idx="10" c:formatCode="0.0000">
                  <c:v>3.4</c:v>
                </c:pt>
                <c:pt idx="11" c:formatCode="0.0000">
                  <c:v>3.44</c:v>
                </c:pt>
                <c:pt idx="12" c:formatCode="0.0000">
                  <c:v>3.48</c:v>
                </c:pt>
                <c:pt idx="13" c:formatCode="0.0000">
                  <c:v>3.52</c:v>
                </c:pt>
                <c:pt idx="14" c:formatCode="0.0000">
                  <c:v>3.56</c:v>
                </c:pt>
                <c:pt idx="15" c:formatCode="0.0000">
                  <c:v>3.6</c:v>
                </c:pt>
                <c:pt idx="16" c:formatCode="0.0000">
                  <c:v>3.64</c:v>
                </c:pt>
                <c:pt idx="17" c:formatCode="0.0000">
                  <c:v>3.68</c:v>
                </c:pt>
                <c:pt idx="18" c:formatCode="0.0000">
                  <c:v>3.72</c:v>
                </c:pt>
                <c:pt idx="19" c:formatCode="0.0000">
                  <c:v>3.76</c:v>
                </c:pt>
                <c:pt idx="20" c:formatCode="0.0000">
                  <c:v>3.8</c:v>
                </c:pt>
                <c:pt idx="21" c:formatCode="0.0000">
                  <c:v>3.84</c:v>
                </c:pt>
                <c:pt idx="22" c:formatCode="0.0000">
                  <c:v>3.88</c:v>
                </c:pt>
                <c:pt idx="23" c:formatCode="0.0000">
                  <c:v>3.92</c:v>
                </c:pt>
                <c:pt idx="24" c:formatCode="0.0000">
                  <c:v>3.96</c:v>
                </c:pt>
                <c:pt idx="25" c:formatCode="0.0000">
                  <c:v>4</c:v>
                </c:pt>
                <c:pt idx="26" c:formatCode="0.0000">
                  <c:v>4.04</c:v>
                </c:pt>
                <c:pt idx="27" c:formatCode="0.0000">
                  <c:v>4.08</c:v>
                </c:pt>
                <c:pt idx="28" c:formatCode="0.0000">
                  <c:v>4.12</c:v>
                </c:pt>
                <c:pt idx="29" c:formatCode="0.0000">
                  <c:v>4.16</c:v>
                </c:pt>
                <c:pt idx="30" c:formatCode="0.0000">
                  <c:v>4.2</c:v>
                </c:pt>
                <c:pt idx="31" c:formatCode="0.0000">
                  <c:v>4.24</c:v>
                </c:pt>
                <c:pt idx="32" c:formatCode="0.0000">
                  <c:v>4.28</c:v>
                </c:pt>
                <c:pt idx="33" c:formatCode="0.0000">
                  <c:v>4.32</c:v>
                </c:pt>
                <c:pt idx="34" c:formatCode="0.0000">
                  <c:v>4.36</c:v>
                </c:pt>
                <c:pt idx="35" c:formatCode="0.0000">
                  <c:v>4.4</c:v>
                </c:pt>
                <c:pt idx="36" c:formatCode="0.0000">
                  <c:v>4.44</c:v>
                </c:pt>
                <c:pt idx="37" c:formatCode="0.0000">
                  <c:v>4.48</c:v>
                </c:pt>
                <c:pt idx="38" c:formatCode="0.0000">
                  <c:v>4.52</c:v>
                </c:pt>
                <c:pt idx="39" c:formatCode="0.0000">
                  <c:v>4.56</c:v>
                </c:pt>
                <c:pt idx="40" c:formatCode="0.0000">
                  <c:v>4.6</c:v>
                </c:pt>
                <c:pt idx="41" c:formatCode="0.0000">
                  <c:v>4.64</c:v>
                </c:pt>
                <c:pt idx="42" c:formatCode="0.0000">
                  <c:v>4.68</c:v>
                </c:pt>
                <c:pt idx="43" c:formatCode="0.0000">
                  <c:v>4.72</c:v>
                </c:pt>
                <c:pt idx="44" c:formatCode="0.0000">
                  <c:v>4.76</c:v>
                </c:pt>
                <c:pt idx="45" c:formatCode="0.0000">
                  <c:v>4.8</c:v>
                </c:pt>
                <c:pt idx="46" c:formatCode="0.0000">
                  <c:v>4.84</c:v>
                </c:pt>
                <c:pt idx="47" c:formatCode="0.0000">
                  <c:v>4.88</c:v>
                </c:pt>
                <c:pt idx="48" c:formatCode="0.0000">
                  <c:v>4.92</c:v>
                </c:pt>
                <c:pt idx="49" c:formatCode="0.0000">
                  <c:v>4.96</c:v>
                </c:pt>
                <c:pt idx="50" c:formatCode="0.0000">
                  <c:v>5</c:v>
                </c:pt>
                <c:pt idx="51" c:formatCode="0.0000">
                  <c:v>5.04</c:v>
                </c:pt>
                <c:pt idx="52" c:formatCode="0.0000">
                  <c:v>5.08</c:v>
                </c:pt>
                <c:pt idx="53" c:formatCode="0.0000">
                  <c:v>5.12</c:v>
                </c:pt>
                <c:pt idx="54" c:formatCode="0.0000">
                  <c:v>5.16</c:v>
                </c:pt>
                <c:pt idx="55" c:formatCode="0.0000">
                  <c:v>5.2</c:v>
                </c:pt>
                <c:pt idx="56" c:formatCode="0.0000">
                  <c:v>5.24</c:v>
                </c:pt>
                <c:pt idx="57" c:formatCode="0.0000">
                  <c:v>5.28</c:v>
                </c:pt>
                <c:pt idx="58" c:formatCode="0.0000">
                  <c:v>5.32</c:v>
                </c:pt>
                <c:pt idx="59" c:formatCode="0.0000">
                  <c:v>5.36</c:v>
                </c:pt>
                <c:pt idx="60" c:formatCode="0.0000">
                  <c:v>5.4</c:v>
                </c:pt>
                <c:pt idx="61" c:formatCode="0.0000">
                  <c:v>5.44</c:v>
                </c:pt>
                <c:pt idx="62" c:formatCode="0.0000">
                  <c:v>5.48</c:v>
                </c:pt>
                <c:pt idx="63" c:formatCode="0.0000">
                  <c:v>5.52</c:v>
                </c:pt>
                <c:pt idx="64" c:formatCode="0.0000">
                  <c:v>5.56</c:v>
                </c:pt>
                <c:pt idx="65" c:formatCode="0.0000">
                  <c:v>5.6</c:v>
                </c:pt>
                <c:pt idx="66" c:formatCode="0.0000">
                  <c:v>5.64</c:v>
                </c:pt>
                <c:pt idx="67" c:formatCode="0.0000">
                  <c:v>5.68</c:v>
                </c:pt>
                <c:pt idx="68" c:formatCode="0.0000">
                  <c:v>5.72</c:v>
                </c:pt>
                <c:pt idx="69" c:formatCode="0.0000">
                  <c:v>5.76</c:v>
                </c:pt>
                <c:pt idx="70" c:formatCode="0.0000">
                  <c:v>5.8</c:v>
                </c:pt>
                <c:pt idx="71" c:formatCode="0.0000">
                  <c:v>5.84</c:v>
                </c:pt>
                <c:pt idx="72" c:formatCode="0.0000">
                  <c:v>5.88</c:v>
                </c:pt>
                <c:pt idx="73" c:formatCode="0.0000">
                  <c:v>5.92</c:v>
                </c:pt>
                <c:pt idx="74" c:formatCode="0.0000">
                  <c:v>5.96</c:v>
                </c:pt>
                <c:pt idx="75" c:formatCode="0.0000">
                  <c:v>6</c:v>
                </c:pt>
                <c:pt idx="76" c:formatCode="0.0000">
                  <c:v>6.04</c:v>
                </c:pt>
                <c:pt idx="77" c:formatCode="0.0000">
                  <c:v>6.08</c:v>
                </c:pt>
                <c:pt idx="78" c:formatCode="0.0000">
                  <c:v>6.12</c:v>
                </c:pt>
                <c:pt idx="79" c:formatCode="0.0000">
                  <c:v>6.16</c:v>
                </c:pt>
                <c:pt idx="80" c:formatCode="0.0000">
                  <c:v>6.2</c:v>
                </c:pt>
                <c:pt idx="81" c:formatCode="0.0000">
                  <c:v>6.24</c:v>
                </c:pt>
                <c:pt idx="82" c:formatCode="0.0000">
                  <c:v>6.28</c:v>
                </c:pt>
                <c:pt idx="83" c:formatCode="0.0000">
                  <c:v>6.32</c:v>
                </c:pt>
                <c:pt idx="84" c:formatCode="0.0000">
                  <c:v>6.36</c:v>
                </c:pt>
                <c:pt idx="85" c:formatCode="0.0000">
                  <c:v>6.4</c:v>
                </c:pt>
                <c:pt idx="86" c:formatCode="0.0000">
                  <c:v>6.44</c:v>
                </c:pt>
                <c:pt idx="87" c:formatCode="0.0000">
                  <c:v>6.48</c:v>
                </c:pt>
                <c:pt idx="88" c:formatCode="0.0000">
                  <c:v>6.52</c:v>
                </c:pt>
                <c:pt idx="89" c:formatCode="0.0000">
                  <c:v>6.56</c:v>
                </c:pt>
                <c:pt idx="90" c:formatCode="0.0000">
                  <c:v>6.6</c:v>
                </c:pt>
                <c:pt idx="91" c:formatCode="0.0000">
                  <c:v>6.64</c:v>
                </c:pt>
                <c:pt idx="92" c:formatCode="0.0000">
                  <c:v>6.68</c:v>
                </c:pt>
                <c:pt idx="93" c:formatCode="0.0000">
                  <c:v>6.72</c:v>
                </c:pt>
                <c:pt idx="94" c:formatCode="0.0000">
                  <c:v>6.76</c:v>
                </c:pt>
                <c:pt idx="95" c:formatCode="0.0000">
                  <c:v>6.8</c:v>
                </c:pt>
                <c:pt idx="96" c:formatCode="0.0000">
                  <c:v>6.84</c:v>
                </c:pt>
                <c:pt idx="97" c:formatCode="0.0000">
                  <c:v>6.88</c:v>
                </c:pt>
                <c:pt idx="98" c:formatCode="0.0000">
                  <c:v>6.92</c:v>
                </c:pt>
                <c:pt idx="99" c:formatCode="0.0000">
                  <c:v>6.96</c:v>
                </c:pt>
                <c:pt idx="100" c:formatCode="0.0000">
                  <c:v>7</c:v>
                </c:pt>
              </c:numCache>
            </c:numRef>
          </c:cat>
          <c:val>
            <c:numRef>
              <c:f>Sheet1!$T$6:$T$106</c:f>
              <c:numCache>
                <c:formatCode>General</c:formatCode>
                <c:ptCount val="101"/>
              </c:numCache>
            </c:numRef>
          </c:val>
          <c:smooth val="0"/>
        </c:ser>
        <c:ser>
          <c:idx val="3"/>
          <c:order val="3"/>
          <c:tx>
            <c:strRef>
              <c:f>Sheet1!$W$5</c:f>
              <c:strCache>
                <c:ptCount val="1"/>
                <c:pt idx="0">
                  <c:v>Effective Permittivity – Stored Energy</c:v>
                </c:pt>
              </c:strCache>
            </c:strRef>
          </c:tx>
          <c:spPr>
            <a:ln w="28800" cap="rnd" cmpd="sng" algn="ctr">
              <a:solidFill>
                <a:srgbClr val="579D1C"/>
              </a:solidFill>
              <a:prstDash val="solid"/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pt-BR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2880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numRef>
              <c:f>Sheet1!$A$6:$A$106</c:f>
              <c:numCache>
                <c:formatCode>0.0000</c:formatCode>
                <c:ptCount val="101"/>
                <c:pt idx="0" c:formatCode="0.0000">
                  <c:v>3</c:v>
                </c:pt>
                <c:pt idx="1" c:formatCode="0.0000">
                  <c:v>3.04</c:v>
                </c:pt>
                <c:pt idx="2" c:formatCode="0.0000">
                  <c:v>3.08</c:v>
                </c:pt>
                <c:pt idx="3" c:formatCode="0.0000">
                  <c:v>3.12</c:v>
                </c:pt>
                <c:pt idx="4" c:formatCode="0.0000">
                  <c:v>3.16</c:v>
                </c:pt>
                <c:pt idx="5" c:formatCode="0.0000">
                  <c:v>3.2</c:v>
                </c:pt>
                <c:pt idx="6" c:formatCode="0.0000">
                  <c:v>3.24</c:v>
                </c:pt>
                <c:pt idx="7" c:formatCode="0.0000">
                  <c:v>3.28</c:v>
                </c:pt>
                <c:pt idx="8" c:formatCode="0.0000">
                  <c:v>3.32</c:v>
                </c:pt>
                <c:pt idx="9" c:formatCode="0.0000">
                  <c:v>3.36</c:v>
                </c:pt>
                <c:pt idx="10" c:formatCode="0.0000">
                  <c:v>3.4</c:v>
                </c:pt>
                <c:pt idx="11" c:formatCode="0.0000">
                  <c:v>3.44</c:v>
                </c:pt>
                <c:pt idx="12" c:formatCode="0.0000">
                  <c:v>3.48</c:v>
                </c:pt>
                <c:pt idx="13" c:formatCode="0.0000">
                  <c:v>3.52</c:v>
                </c:pt>
                <c:pt idx="14" c:formatCode="0.0000">
                  <c:v>3.56</c:v>
                </c:pt>
                <c:pt idx="15" c:formatCode="0.0000">
                  <c:v>3.6</c:v>
                </c:pt>
                <c:pt idx="16" c:formatCode="0.0000">
                  <c:v>3.64</c:v>
                </c:pt>
                <c:pt idx="17" c:formatCode="0.0000">
                  <c:v>3.68</c:v>
                </c:pt>
                <c:pt idx="18" c:formatCode="0.0000">
                  <c:v>3.72</c:v>
                </c:pt>
                <c:pt idx="19" c:formatCode="0.0000">
                  <c:v>3.76</c:v>
                </c:pt>
                <c:pt idx="20" c:formatCode="0.0000">
                  <c:v>3.8</c:v>
                </c:pt>
                <c:pt idx="21" c:formatCode="0.0000">
                  <c:v>3.84</c:v>
                </c:pt>
                <c:pt idx="22" c:formatCode="0.0000">
                  <c:v>3.88</c:v>
                </c:pt>
                <c:pt idx="23" c:formatCode="0.0000">
                  <c:v>3.92</c:v>
                </c:pt>
                <c:pt idx="24" c:formatCode="0.0000">
                  <c:v>3.96</c:v>
                </c:pt>
                <c:pt idx="25" c:formatCode="0.0000">
                  <c:v>4</c:v>
                </c:pt>
                <c:pt idx="26" c:formatCode="0.0000">
                  <c:v>4.04</c:v>
                </c:pt>
                <c:pt idx="27" c:formatCode="0.0000">
                  <c:v>4.08</c:v>
                </c:pt>
                <c:pt idx="28" c:formatCode="0.0000">
                  <c:v>4.12</c:v>
                </c:pt>
                <c:pt idx="29" c:formatCode="0.0000">
                  <c:v>4.16</c:v>
                </c:pt>
                <c:pt idx="30" c:formatCode="0.0000">
                  <c:v>4.2</c:v>
                </c:pt>
                <c:pt idx="31" c:formatCode="0.0000">
                  <c:v>4.24</c:v>
                </c:pt>
                <c:pt idx="32" c:formatCode="0.0000">
                  <c:v>4.28</c:v>
                </c:pt>
                <c:pt idx="33" c:formatCode="0.0000">
                  <c:v>4.32</c:v>
                </c:pt>
                <c:pt idx="34" c:formatCode="0.0000">
                  <c:v>4.36</c:v>
                </c:pt>
                <c:pt idx="35" c:formatCode="0.0000">
                  <c:v>4.4</c:v>
                </c:pt>
                <c:pt idx="36" c:formatCode="0.0000">
                  <c:v>4.44</c:v>
                </c:pt>
                <c:pt idx="37" c:formatCode="0.0000">
                  <c:v>4.48</c:v>
                </c:pt>
                <c:pt idx="38" c:formatCode="0.0000">
                  <c:v>4.52</c:v>
                </c:pt>
                <c:pt idx="39" c:formatCode="0.0000">
                  <c:v>4.56</c:v>
                </c:pt>
                <c:pt idx="40" c:formatCode="0.0000">
                  <c:v>4.6</c:v>
                </c:pt>
                <c:pt idx="41" c:formatCode="0.0000">
                  <c:v>4.64</c:v>
                </c:pt>
                <c:pt idx="42" c:formatCode="0.0000">
                  <c:v>4.68</c:v>
                </c:pt>
                <c:pt idx="43" c:formatCode="0.0000">
                  <c:v>4.72</c:v>
                </c:pt>
                <c:pt idx="44" c:formatCode="0.0000">
                  <c:v>4.76</c:v>
                </c:pt>
                <c:pt idx="45" c:formatCode="0.0000">
                  <c:v>4.8</c:v>
                </c:pt>
                <c:pt idx="46" c:formatCode="0.0000">
                  <c:v>4.84</c:v>
                </c:pt>
                <c:pt idx="47" c:formatCode="0.0000">
                  <c:v>4.88</c:v>
                </c:pt>
                <c:pt idx="48" c:formatCode="0.0000">
                  <c:v>4.92</c:v>
                </c:pt>
                <c:pt idx="49" c:formatCode="0.0000">
                  <c:v>4.96</c:v>
                </c:pt>
                <c:pt idx="50" c:formatCode="0.0000">
                  <c:v>5</c:v>
                </c:pt>
                <c:pt idx="51" c:formatCode="0.0000">
                  <c:v>5.04</c:v>
                </c:pt>
                <c:pt idx="52" c:formatCode="0.0000">
                  <c:v>5.08</c:v>
                </c:pt>
                <c:pt idx="53" c:formatCode="0.0000">
                  <c:v>5.12</c:v>
                </c:pt>
                <c:pt idx="54" c:formatCode="0.0000">
                  <c:v>5.16</c:v>
                </c:pt>
                <c:pt idx="55" c:formatCode="0.0000">
                  <c:v>5.2</c:v>
                </c:pt>
                <c:pt idx="56" c:formatCode="0.0000">
                  <c:v>5.24</c:v>
                </c:pt>
                <c:pt idx="57" c:formatCode="0.0000">
                  <c:v>5.28</c:v>
                </c:pt>
                <c:pt idx="58" c:formatCode="0.0000">
                  <c:v>5.32</c:v>
                </c:pt>
                <c:pt idx="59" c:formatCode="0.0000">
                  <c:v>5.36</c:v>
                </c:pt>
                <c:pt idx="60" c:formatCode="0.0000">
                  <c:v>5.4</c:v>
                </c:pt>
                <c:pt idx="61" c:formatCode="0.0000">
                  <c:v>5.44</c:v>
                </c:pt>
                <c:pt idx="62" c:formatCode="0.0000">
                  <c:v>5.48</c:v>
                </c:pt>
                <c:pt idx="63" c:formatCode="0.0000">
                  <c:v>5.52</c:v>
                </c:pt>
                <c:pt idx="64" c:formatCode="0.0000">
                  <c:v>5.56</c:v>
                </c:pt>
                <c:pt idx="65" c:formatCode="0.0000">
                  <c:v>5.6</c:v>
                </c:pt>
                <c:pt idx="66" c:formatCode="0.0000">
                  <c:v>5.64</c:v>
                </c:pt>
                <c:pt idx="67" c:formatCode="0.0000">
                  <c:v>5.68</c:v>
                </c:pt>
                <c:pt idx="68" c:formatCode="0.0000">
                  <c:v>5.72</c:v>
                </c:pt>
                <c:pt idx="69" c:formatCode="0.0000">
                  <c:v>5.76</c:v>
                </c:pt>
                <c:pt idx="70" c:formatCode="0.0000">
                  <c:v>5.8</c:v>
                </c:pt>
                <c:pt idx="71" c:formatCode="0.0000">
                  <c:v>5.84</c:v>
                </c:pt>
                <c:pt idx="72" c:formatCode="0.0000">
                  <c:v>5.88</c:v>
                </c:pt>
                <c:pt idx="73" c:formatCode="0.0000">
                  <c:v>5.92</c:v>
                </c:pt>
                <c:pt idx="74" c:formatCode="0.0000">
                  <c:v>5.96</c:v>
                </c:pt>
                <c:pt idx="75" c:formatCode="0.0000">
                  <c:v>6</c:v>
                </c:pt>
                <c:pt idx="76" c:formatCode="0.0000">
                  <c:v>6.04</c:v>
                </c:pt>
                <c:pt idx="77" c:formatCode="0.0000">
                  <c:v>6.08</c:v>
                </c:pt>
                <c:pt idx="78" c:formatCode="0.0000">
                  <c:v>6.12</c:v>
                </c:pt>
                <c:pt idx="79" c:formatCode="0.0000">
                  <c:v>6.16</c:v>
                </c:pt>
                <c:pt idx="80" c:formatCode="0.0000">
                  <c:v>6.2</c:v>
                </c:pt>
                <c:pt idx="81" c:formatCode="0.0000">
                  <c:v>6.24</c:v>
                </c:pt>
                <c:pt idx="82" c:formatCode="0.0000">
                  <c:v>6.28</c:v>
                </c:pt>
                <c:pt idx="83" c:formatCode="0.0000">
                  <c:v>6.32</c:v>
                </c:pt>
                <c:pt idx="84" c:formatCode="0.0000">
                  <c:v>6.36</c:v>
                </c:pt>
                <c:pt idx="85" c:formatCode="0.0000">
                  <c:v>6.4</c:v>
                </c:pt>
                <c:pt idx="86" c:formatCode="0.0000">
                  <c:v>6.44</c:v>
                </c:pt>
                <c:pt idx="87" c:formatCode="0.0000">
                  <c:v>6.48</c:v>
                </c:pt>
                <c:pt idx="88" c:formatCode="0.0000">
                  <c:v>6.52</c:v>
                </c:pt>
                <c:pt idx="89" c:formatCode="0.0000">
                  <c:v>6.56</c:v>
                </c:pt>
                <c:pt idx="90" c:formatCode="0.0000">
                  <c:v>6.6</c:v>
                </c:pt>
                <c:pt idx="91" c:formatCode="0.0000">
                  <c:v>6.64</c:v>
                </c:pt>
                <c:pt idx="92" c:formatCode="0.0000">
                  <c:v>6.68</c:v>
                </c:pt>
                <c:pt idx="93" c:formatCode="0.0000">
                  <c:v>6.72</c:v>
                </c:pt>
                <c:pt idx="94" c:formatCode="0.0000">
                  <c:v>6.76</c:v>
                </c:pt>
                <c:pt idx="95" c:formatCode="0.0000">
                  <c:v>6.8</c:v>
                </c:pt>
                <c:pt idx="96" c:formatCode="0.0000">
                  <c:v>6.84</c:v>
                </c:pt>
                <c:pt idx="97" c:formatCode="0.0000">
                  <c:v>6.88</c:v>
                </c:pt>
                <c:pt idx="98" c:formatCode="0.0000">
                  <c:v>6.92</c:v>
                </c:pt>
                <c:pt idx="99" c:formatCode="0.0000">
                  <c:v>6.96</c:v>
                </c:pt>
                <c:pt idx="100" c:formatCode="0.0000">
                  <c:v>7</c:v>
                </c:pt>
              </c:numCache>
            </c:numRef>
          </c:cat>
          <c:val>
            <c:numRef>
              <c:f>Sheet1!$W$6:$W$106</c:f>
              <c:numCache>
                <c:formatCode>0.0000000</c:formatCode>
                <c:ptCount val="101"/>
                <c:pt idx="0">
                  <c:v>3.23815697898175</c:v>
                </c:pt>
                <c:pt idx="1">
                  <c:v>3.23827366296732</c:v>
                </c:pt>
                <c:pt idx="2">
                  <c:v>3.23838694385669</c:v>
                </c:pt>
                <c:pt idx="3">
                  <c:v>3.23849793308573</c:v>
                </c:pt>
                <c:pt idx="4">
                  <c:v>3.23860680868354</c:v>
                </c:pt>
                <c:pt idx="5">
                  <c:v>3.23871332959712</c:v>
                </c:pt>
                <c:pt idx="6">
                  <c:v>3.23881731136234</c:v>
                </c:pt>
                <c:pt idx="7">
                  <c:v>3.23891878121627</c:v>
                </c:pt>
                <c:pt idx="8">
                  <c:v>3.23901858637254</c:v>
                </c:pt>
                <c:pt idx="9">
                  <c:v>3.23911716759164</c:v>
                </c:pt>
                <c:pt idx="10">
                  <c:v>3.2392148445559</c:v>
                </c:pt>
                <c:pt idx="11">
                  <c:v>3.23931219503054</c:v>
                </c:pt>
                <c:pt idx="12">
                  <c:v>3.23940190076363</c:v>
                </c:pt>
                <c:pt idx="13">
                  <c:v>3.2394756854952</c:v>
                </c:pt>
                <c:pt idx="14">
                  <c:v>3.23955267567307</c:v>
                </c:pt>
                <c:pt idx="15">
                  <c:v>3.23962850530042</c:v>
                </c:pt>
                <c:pt idx="16">
                  <c:v>3.23973241677903</c:v>
                </c:pt>
                <c:pt idx="17">
                  <c:v>3.23981710681336</c:v>
                </c:pt>
                <c:pt idx="18">
                  <c:v>3.23990118432672</c:v>
                </c:pt>
                <c:pt idx="19">
                  <c:v>3.2399777058045</c:v>
                </c:pt>
                <c:pt idx="20">
                  <c:v>3.24006152294398</c:v>
                </c:pt>
                <c:pt idx="21">
                  <c:v>3.24014787134515</c:v>
                </c:pt>
                <c:pt idx="22">
                  <c:v>3.24022654874727</c:v>
                </c:pt>
                <c:pt idx="23">
                  <c:v>3.24029376973468</c:v>
                </c:pt>
                <c:pt idx="24">
                  <c:v>3.24032978688077</c:v>
                </c:pt>
                <c:pt idx="25">
                  <c:v>3.24036220292469</c:v>
                </c:pt>
                <c:pt idx="26">
                  <c:v>3.24047718020472</c:v>
                </c:pt>
                <c:pt idx="27">
                  <c:v>3.24059356072141</c:v>
                </c:pt>
                <c:pt idx="28">
                  <c:v>3.24069170726237</c:v>
                </c:pt>
                <c:pt idx="29">
                  <c:v>3.24076729627607</c:v>
                </c:pt>
                <c:pt idx="30">
                  <c:v>3.24085340330976</c:v>
                </c:pt>
                <c:pt idx="31">
                  <c:v>3.24085404796569</c:v>
                </c:pt>
                <c:pt idx="32">
                  <c:v>3.24012638391618</c:v>
                </c:pt>
                <c:pt idx="33">
                  <c:v>3.24055258585505</c:v>
                </c:pt>
                <c:pt idx="34">
                  <c:v>3.24117554355116</c:v>
                </c:pt>
                <c:pt idx="35">
                  <c:v>3.24130268756811</c:v>
                </c:pt>
                <c:pt idx="36">
                  <c:v>3.24137634994386</c:v>
                </c:pt>
                <c:pt idx="37">
                  <c:v>3.24103573721862</c:v>
                </c:pt>
                <c:pt idx="38">
                  <c:v>3.24146973584771</c:v>
                </c:pt>
                <c:pt idx="39">
                  <c:v>3.24167301884601</c:v>
                </c:pt>
                <c:pt idx="40">
                  <c:v>3.24181892996978</c:v>
                </c:pt>
                <c:pt idx="41">
                  <c:v>3.24194451526882</c:v>
                </c:pt>
                <c:pt idx="42">
                  <c:v>3.24206820850698</c:v>
                </c:pt>
                <c:pt idx="43">
                  <c:v>3.24219025179471</c:v>
                </c:pt>
                <c:pt idx="44">
                  <c:v>3.24230070962182</c:v>
                </c:pt>
                <c:pt idx="45">
                  <c:v>3.24241458939883</c:v>
                </c:pt>
                <c:pt idx="46">
                  <c:v>3.24252247306178</c:v>
                </c:pt>
                <c:pt idx="47">
                  <c:v>3.24262136790134</c:v>
                </c:pt>
                <c:pt idx="48">
                  <c:v>3.24272976339885</c:v>
                </c:pt>
                <c:pt idx="49">
                  <c:v>3.24281098243835</c:v>
                </c:pt>
                <c:pt idx="50">
                  <c:v>3.24297371796881</c:v>
                </c:pt>
                <c:pt idx="51">
                  <c:v>3.24315264761204</c:v>
                </c:pt>
                <c:pt idx="52">
                  <c:v>3.2433400101669</c:v>
                </c:pt>
                <c:pt idx="53">
                  <c:v>3.24348409456539</c:v>
                </c:pt>
                <c:pt idx="54">
                  <c:v>3.24355148874386</c:v>
                </c:pt>
                <c:pt idx="55">
                  <c:v>3.24366040965877</c:v>
                </c:pt>
                <c:pt idx="56">
                  <c:v>3.24353491603339</c:v>
                </c:pt>
                <c:pt idx="57">
                  <c:v>3.2439946353097</c:v>
                </c:pt>
                <c:pt idx="58">
                  <c:v>3.2442419927548</c:v>
                </c:pt>
                <c:pt idx="59">
                  <c:v>3.24443792620989</c:v>
                </c:pt>
                <c:pt idx="60">
                  <c:v>3.24461747228034</c:v>
                </c:pt>
                <c:pt idx="61">
                  <c:v>3.24451152796989</c:v>
                </c:pt>
                <c:pt idx="62">
                  <c:v>3.24413260812871</c:v>
                </c:pt>
                <c:pt idx="63">
                  <c:v>3.24516151803418</c:v>
                </c:pt>
                <c:pt idx="64">
                  <c:v>3.24526164517393</c:v>
                </c:pt>
                <c:pt idx="65">
                  <c:v>3.24554687192694</c:v>
                </c:pt>
                <c:pt idx="66">
                  <c:v>3.24577717926911</c:v>
                </c:pt>
                <c:pt idx="67">
                  <c:v>3.24598086928219</c:v>
                </c:pt>
                <c:pt idx="68">
                  <c:v>3.24614139584444</c:v>
                </c:pt>
                <c:pt idx="69">
                  <c:v>3.24637831201621</c:v>
                </c:pt>
                <c:pt idx="70">
                  <c:v>3.24660755693292</c:v>
                </c:pt>
                <c:pt idx="71">
                  <c:v>3.24682460270869</c:v>
                </c:pt>
                <c:pt idx="72">
                  <c:v>3.24704229519931</c:v>
                </c:pt>
                <c:pt idx="73">
                  <c:v>3.24726167021859</c:v>
                </c:pt>
                <c:pt idx="74">
                  <c:v>3.24749414178062</c:v>
                </c:pt>
                <c:pt idx="75">
                  <c:v>3.24772399043954</c:v>
                </c:pt>
                <c:pt idx="76">
                  <c:v>3.24795702102841</c:v>
                </c:pt>
                <c:pt idx="77">
                  <c:v>3.24819650125591</c:v>
                </c:pt>
                <c:pt idx="78">
                  <c:v>3.24842710292504</c:v>
                </c:pt>
                <c:pt idx="79">
                  <c:v>3.24869447934</c:v>
                </c:pt>
                <c:pt idx="80">
                  <c:v>3.24894805729973</c:v>
                </c:pt>
                <c:pt idx="81">
                  <c:v>3.24920507093187</c:v>
                </c:pt>
                <c:pt idx="82">
                  <c:v>3.24946604661424</c:v>
                </c:pt>
                <c:pt idx="83">
                  <c:v>3.24973064293594</c:v>
                </c:pt>
                <c:pt idx="84">
                  <c:v>3.24999962091629</c:v>
                </c:pt>
                <c:pt idx="85">
                  <c:v>3.25011311922424</c:v>
                </c:pt>
                <c:pt idx="86">
                  <c:v>3.25054767440173</c:v>
                </c:pt>
                <c:pt idx="87">
                  <c:v>3.25083095064423</c:v>
                </c:pt>
                <c:pt idx="88">
                  <c:v>3.25111876197179</c:v>
                </c:pt>
                <c:pt idx="89">
                  <c:v>3.25141105934394</c:v>
                </c:pt>
                <c:pt idx="90">
                  <c:v>3.25170768950808</c:v>
                </c:pt>
                <c:pt idx="91">
                  <c:v>3.2520089973136</c:v>
                </c:pt>
                <c:pt idx="92">
                  <c:v>3.25231708195277</c:v>
                </c:pt>
                <c:pt idx="93">
                  <c:v>3.25263081955402</c:v>
                </c:pt>
                <c:pt idx="94">
                  <c:v>3.25295034034328</c:v>
                </c:pt>
                <c:pt idx="95">
                  <c:v>3.25327572222817</c:v>
                </c:pt>
                <c:pt idx="96">
                  <c:v>3.25360709494943</c:v>
                </c:pt>
                <c:pt idx="97">
                  <c:v>3.25394464348305</c:v>
                </c:pt>
                <c:pt idx="98">
                  <c:v>3.25428855050021</c:v>
                </c:pt>
                <c:pt idx="99">
                  <c:v>3.25463893869367</c:v>
                </c:pt>
                <c:pt idx="100">
                  <c:v>3.25499593551104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1"/>
        <c:smooth val="0"/>
        <c:axId val="56634135"/>
        <c:axId val="71546008"/>
      </c:lineChart>
      <c:catAx>
        <c:axId val="56634135"/>
        <c:scaling>
          <c:orientation val="minMax"/>
        </c:scaling>
        <c:delete val="0"/>
        <c:axPos val="b"/>
        <c:numFmt formatCode="0.0000" sourceLinked="1"/>
        <c:majorTickMark val="out"/>
        <c:minorTickMark val="none"/>
        <c:tickLblPos val="nextTo"/>
        <c:spPr>
          <a:ln w="0" cap="flat" cmpd="sng" algn="ctr">
            <a:solidFill>
              <a:srgbClr val="B3B3B3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pt-BR" sz="10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</a:p>
        </c:txPr>
        <c:crossAx val="71546008"/>
        <c:crosses val="autoZero"/>
        <c:auto val="1"/>
        <c:lblAlgn val="ctr"/>
        <c:lblOffset val="100"/>
        <c:noMultiLvlLbl val="0"/>
      </c:catAx>
      <c:valAx>
        <c:axId val="71546008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rgbClr val="B3B3B3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0" cap="flat" cmpd="sng" algn="ctr">
            <a:solidFill>
              <a:srgbClr val="B3B3B3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pt-BR" sz="10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</a:p>
        </c:txPr>
        <c:crossAx val="5663413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pt-BR" sz="1000" b="0" i="0" u="none" strike="noStrike" kern="1200" baseline="0">
              <a:solidFill>
                <a:schemeClr val="tx1"/>
              </a:solidFill>
              <a:uFillTx/>
              <a:latin typeface="Arial" panose="020B0604020202020204"/>
              <a:ea typeface="+mn-ea"/>
              <a:cs typeface="+mn-cs"/>
            </a:defRPr>
          </a:pPr>
        </a:p>
      </c:txPr>
    </c:legend>
    <c:plotVisOnly val="1"/>
    <c:dispBlanksAs val="gap"/>
    <c:showDLblsOverMax val="1"/>
    <c:extLst>
      <c:ext uri="{0b15fc19-7d7d-44ad-8c2d-2c3a37ce22c3}">
        <chartProps xmlns="https://web.wps.cn/et/2018/main" chartId="{cdb8485f-c711-4684-8188-37b9b55423ac}"/>
      </c:ext>
    </c:extLst>
  </c:chart>
  <c:spPr>
    <a:solidFill>
      <a:srgbClr val="FFFFFF"/>
    </a:solidFill>
    <a:ln w="0" cap="flat" cmpd="sng" algn="ctr">
      <a:noFill/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7" Type="http://schemas.openxmlformats.org/officeDocument/2006/relationships/image" Target="../media/image7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12</xdr:col>
      <xdr:colOff>3175</xdr:colOff>
      <xdr:row>4</xdr:row>
      <xdr:rowOff>582295</xdr:rowOff>
    </xdr:from>
    <xdr:ext cx="1647825" cy="318135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 Box 1"/>
            <xdr:cNvSpPr txBox="1"/>
          </xdr:nvSpPr>
          <xdr:spPr>
            <a:xfrm>
              <a:off x="9553575" y="1553845"/>
              <a:ext cx="1647825" cy="31813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8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bPr>
                      <m:e>
                        <m:r>
                          <a:rPr lang="en-US" sz="8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𝜀</m:t>
                        </m:r>
                      </m:e>
                      <m:sub>
                        <m:r>
                          <a:rPr lang="en-US" sz="8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𝑒𝑓𝑓</m:t>
                        </m:r>
                      </m:sub>
                    </m:sSub>
                    <m:r>
                      <a:rPr lang="en-US" sz="8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f>
                      <m:fPr>
                        <m:ctrlPr>
                          <a:rPr lang="en-US" sz="8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8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sSubPr>
                          <m:e>
                            <m:r>
                              <a:rPr lang="en-US" sz="8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𝜀</m:t>
                            </m:r>
                          </m:e>
                          <m:sub>
                            <m:r>
                              <a:rPr lang="en-US" sz="8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𝑟</m:t>
                            </m:r>
                          </m:sub>
                        </m:sSub>
                        <m:r>
                          <a:rPr lang="en-US" sz="8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+</m:t>
                        </m:r>
                        <m:sSub>
                          <m:sSubPr>
                            <m:ctrlPr>
                              <a:rPr lang="en-US" sz="8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sSubPr>
                          <m:e>
                            <m:r>
                              <a:rPr lang="en-US" sz="8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𝜀</m:t>
                            </m:r>
                          </m:e>
                          <m:sub>
                            <m:r>
                              <a:rPr lang="en-US" sz="8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𝑀𝑈𝑇</m:t>
                            </m:r>
                          </m:sub>
                        </m:sSub>
                      </m:num>
                      <m:den>
                        <m:r>
                          <a:rPr lang="en-US" sz="8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2</m:t>
                        </m:r>
                      </m:den>
                    </m:f>
                    <m:r>
                      <a:rPr lang="en-US" sz="800" i="1">
                        <a:latin typeface="Cambria Math" panose="02040503050406030204" charset="0"/>
                        <a:cs typeface="Cambria Math" panose="02040503050406030204" charset="0"/>
                      </a:rPr>
                      <m:t>+</m:t>
                    </m:r>
                    <m:f>
                      <m:fPr>
                        <m:ctrlPr>
                          <a:rPr lang="en-US" sz="8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8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sSubPr>
                          <m:e>
                            <m:r>
                              <a:rPr lang="en-US" sz="8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𝜀</m:t>
                            </m:r>
                          </m:e>
                          <m:sub>
                            <m:r>
                              <a:rPr lang="en-US" sz="800" i="1">
                                <a:latin typeface="Cambria Math" panose="02040503050406030204" charset="0"/>
                              </a:rPr>
                              <m:t>𝑟</m:t>
                            </m:r>
                          </m:sub>
                        </m:sSub>
                        <m:r>
                          <a:rPr lang="en-US" sz="800" i="1">
                            <a:latin typeface="Cambria Math" panose="02040503050406030204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8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sSubPr>
                          <m:e>
                            <m:r>
                              <a:rPr lang="en-US" sz="8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𝜀</m:t>
                            </m:r>
                          </m:e>
                          <m:sub>
                            <m:r>
                              <a:rPr lang="en-US" sz="800" i="1">
                                <a:latin typeface="Cambria Math" panose="02040503050406030204" charset="0"/>
                              </a:rPr>
                              <m:t>𝑀𝑈𝑇</m:t>
                            </m:r>
                          </m:sub>
                        </m:sSub>
                      </m:num>
                      <m:den>
                        <m:r>
                          <a:rPr lang="en-US" sz="8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2</m:t>
                        </m:r>
                      </m:den>
                    </m:f>
                    <m:r>
                      <a:rPr lang="en-US" sz="800" i="1">
                        <a:latin typeface="Cambria Math" panose="02040503050406030204" charset="0"/>
                        <a:cs typeface="Cambria Math" panose="02040503050406030204" charset="0"/>
                      </a:rPr>
                      <m:t>𝐹</m:t>
                    </m:r>
                  </m:oMath>
                </m:oMathPara>
              </a14:m>
              <a:endParaRPr lang="en-US" sz="8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2" name="Text Box 1"/>
            <xdr:cNvSpPr txBox="1"/>
          </xdr:nvSpPr>
          <xdr:spPr>
            <a:xfrm>
              <a:off x="9553575" y="1553845"/>
              <a:ext cx="1647825" cy="31813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𝑒𝑓𝑓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𝑟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+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𝑀𝑈𝑇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2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+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sz="800">
                  <a:latin typeface="Cambria Math" panose="02040503050406030204" charset="0"/>
                </a:rPr>
                <a:t>𝑟</a:t>
              </a:r>
              <a:r>
                <a:rPr lang="en-US" sz="800">
                  <a:latin typeface="Cambria Math" panose="02040503050406030204" charset="0"/>
                </a:rPr>
                <a:t>−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𝜀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sz="800">
                  <a:latin typeface="Cambria Math" panose="02040503050406030204" charset="0"/>
                </a:rPr>
                <a:t>𝑀𝑈𝑇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2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𝐹</a:t>
              </a:r>
              <a:endParaRPr lang="en-US" sz="8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0</xdr:colOff>
      <xdr:row>5</xdr:row>
      <xdr:rowOff>0</xdr:rowOff>
    </xdr:from>
    <xdr:ext cx="1183005" cy="356870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 Box 2"/>
            <xdr:cNvSpPr txBox="1"/>
          </xdr:nvSpPr>
          <xdr:spPr>
            <a:xfrm>
              <a:off x="6267450" y="1568450"/>
              <a:ext cx="1183005" cy="35687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800" i="1">
                        <a:latin typeface="Cambria Math" panose="02040503050406030204" charset="0"/>
                        <a:cs typeface="Cambria Math" panose="02040503050406030204" charset="0"/>
                      </a:rPr>
                      <m:t>𝐹</m:t>
                    </m:r>
                    <m:r>
                      <a:rPr lang="en-US" sz="8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sSup>
                      <m:sSupPr>
                        <m:ctrlPr>
                          <a:rPr lang="en-US" sz="8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8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dPr>
                          <m:e>
                            <m:r>
                              <a:rPr lang="en-US" sz="8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1</m:t>
                            </m:r>
                            <m:r>
                              <a:rPr lang="en-US" sz="8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+</m:t>
                            </m:r>
                            <m:r>
                              <a:rPr lang="en-US" sz="8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12</m:t>
                            </m:r>
                            <m:f>
                              <m:fPr>
                                <m:ctrlPr>
                                  <a:rPr lang="en-US" sz="8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fPr>
                              <m:num>
                                <m:r>
                                  <a:rPr lang="en-US" sz="8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ℎ</m:t>
                                </m:r>
                              </m:num>
                              <m:den>
                                <m:r>
                                  <a:rPr lang="en-US" sz="8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𝑊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en-US" sz="8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−</m:t>
                        </m:r>
                        <m:r>
                          <a:rPr lang="en-US" sz="8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1</m:t>
                        </m:r>
                        <m:r>
                          <a:rPr lang="en-US" sz="8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/</m:t>
                        </m:r>
                        <m:r>
                          <a:rPr lang="en-US" sz="8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8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3" name="Text Box 2"/>
            <xdr:cNvSpPr txBox="1"/>
          </xdr:nvSpPr>
          <xdr:spPr>
            <a:xfrm>
              <a:off x="6267450" y="1568450"/>
              <a:ext cx="1183005" cy="35687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𝐹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(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+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12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ℎ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𝑊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)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2</a:t>
              </a:r>
              <a:endParaRPr lang="en-US" sz="8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11</xdr:col>
      <xdr:colOff>0</xdr:colOff>
      <xdr:row>4</xdr:row>
      <xdr:rowOff>594995</xdr:rowOff>
    </xdr:from>
    <xdr:ext cx="2106930" cy="356235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 Box 3"/>
            <xdr:cNvSpPr txBox="1"/>
          </xdr:nvSpPr>
          <xdr:spPr>
            <a:xfrm>
              <a:off x="7448550" y="1566545"/>
              <a:ext cx="2106930" cy="35623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800" i="1">
                        <a:latin typeface="Cambria Math" panose="02040503050406030204" charset="0"/>
                        <a:cs typeface="Cambria Math" panose="02040503050406030204" charset="0"/>
                      </a:rPr>
                      <m:t>𝐹</m:t>
                    </m:r>
                    <m:r>
                      <a:rPr lang="en-US" sz="8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sSup>
                      <m:sSupPr>
                        <m:ctrlPr>
                          <a:rPr lang="en-US" sz="8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8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dPr>
                          <m:e>
                            <m:r>
                              <a:rPr lang="en-US" sz="8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1</m:t>
                            </m:r>
                            <m:r>
                              <a:rPr lang="en-US" sz="8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+</m:t>
                            </m:r>
                            <m:r>
                              <a:rPr lang="en-US" sz="8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12</m:t>
                            </m:r>
                            <m:f>
                              <m:fPr>
                                <m:ctrlPr>
                                  <a:rPr lang="en-US" sz="8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fPr>
                              <m:num>
                                <m:r>
                                  <a:rPr lang="en-US" sz="8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ℎ</m:t>
                                </m:r>
                              </m:num>
                              <m:den>
                                <m:r>
                                  <a:rPr lang="en-US" sz="8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𝑊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en-US" sz="8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−</m:t>
                        </m:r>
                        <m:r>
                          <a:rPr lang="en-US" sz="8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1</m:t>
                        </m:r>
                        <m:r>
                          <a:rPr lang="en-US" sz="8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/</m:t>
                        </m:r>
                        <m:r>
                          <a:rPr lang="en-US" sz="8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2</m:t>
                        </m:r>
                      </m:sup>
                    </m:sSup>
                    <m:r>
                      <a:rPr lang="en-US" sz="800" i="1">
                        <a:latin typeface="Cambria Math" panose="02040503050406030204" charset="0"/>
                        <a:cs typeface="Cambria Math" panose="02040503050406030204" charset="0"/>
                      </a:rPr>
                      <m:t>+</m:t>
                    </m:r>
                    <m:r>
                      <a:rPr lang="en-US" sz="800" i="1">
                        <a:latin typeface="Cambria Math" panose="02040503050406030204" charset="0"/>
                        <a:cs typeface="Cambria Math" panose="02040503050406030204" charset="0"/>
                      </a:rPr>
                      <m:t>0</m:t>
                    </m:r>
                    <m:r>
                      <a:rPr lang="en-US" sz="800" i="1">
                        <a:latin typeface="Cambria Math" panose="02040503050406030204" charset="0"/>
                        <a:cs typeface="Cambria Math" panose="02040503050406030204" charset="0"/>
                      </a:rPr>
                      <m:t>.</m:t>
                    </m:r>
                    <m:r>
                      <a:rPr lang="en-US" sz="800" i="1">
                        <a:latin typeface="Cambria Math" panose="02040503050406030204" charset="0"/>
                        <a:cs typeface="Cambria Math" panose="02040503050406030204" charset="0"/>
                      </a:rPr>
                      <m:t>04</m:t>
                    </m:r>
                    <m:sSup>
                      <m:sSupPr>
                        <m:ctrlPr>
                          <a:rPr lang="en-US" sz="800" i="1">
                            <a:latin typeface="Cambria Math" panose="02040503050406030204" charset="0"/>
                            <a:cs typeface="Cambria Math" panose="02040503050406030204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8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</m:ctrlPr>
                          </m:dPr>
                          <m:e>
                            <m:r>
                              <a:rPr lang="en-US" sz="8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1</m:t>
                            </m:r>
                            <m:r>
                              <a:rPr lang="en-US" sz="8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−</m:t>
                            </m:r>
                            <m:f>
                              <m:fPr>
                                <m:ctrlPr>
                                  <a:rPr lang="en-US" sz="8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</m:ctrlPr>
                              </m:fPr>
                              <m:num>
                                <m:r>
                                  <a:rPr lang="en-US" sz="8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𝑊</m:t>
                                </m:r>
                              </m:num>
                              <m:den>
                                <m:r>
                                  <a:rPr lang="en-US" sz="800" i="1">
                                    <a:latin typeface="Cambria Math" panose="02040503050406030204" charset="0"/>
                                    <a:cs typeface="Cambria Math" panose="02040503050406030204" charset="0"/>
                                  </a:rPr>
                                  <m:t>ℎ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en-US" sz="8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8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>
        <xdr:sp>
          <xdr:nvSpPr>
            <xdr:cNvPr id="4" name="Text Box 3"/>
            <xdr:cNvSpPr txBox="1"/>
          </xdr:nvSpPr>
          <xdr:spPr>
            <a:xfrm>
              <a:off x="7448550" y="1566545"/>
              <a:ext cx="2106930" cy="35623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p>
              <a:pPr algn="l"/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𝐹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(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+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12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ℎ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𝑊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)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2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+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0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.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04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(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𝑊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ℎ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)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sz="800">
                  <a:latin typeface="Cambria Math" panose="02040503050406030204" charset="0"/>
                  <a:cs typeface="Cambria Math" panose="02040503050406030204" charset="0"/>
                </a:rPr>
                <a:t>2</a:t>
              </a:r>
              <a:endParaRPr lang="en-US" sz="8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twoCellAnchor editAs="oneCell">
    <xdr:from>
      <xdr:col>13</xdr:col>
      <xdr:colOff>342265</xdr:colOff>
      <xdr:row>11</xdr:row>
      <xdr:rowOff>61595</xdr:rowOff>
    </xdr:from>
    <xdr:to>
      <xdr:col>13</xdr:col>
      <xdr:colOff>1898015</xdr:colOff>
      <xdr:row>13</xdr:row>
      <xdr:rowOff>116840</xdr:rowOff>
    </xdr:to>
    <xdr:pic>
      <xdr:nvPicPr>
        <xdr:cNvPr id="5" name="2384804F-3998-4D57-9195-F3826E402611-1" descr="et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588115" y="2807970"/>
          <a:ext cx="1555750" cy="379095"/>
        </a:xfrm>
        <a:prstGeom prst="rect">
          <a:avLst/>
        </a:prstGeom>
      </xdr:spPr>
    </xdr:pic>
    <xdr:clientData/>
  </xdr:twoCellAnchor>
  <xdr:twoCellAnchor editAs="oneCell">
    <xdr:from>
      <xdr:col>13</xdr:col>
      <xdr:colOff>148590</xdr:colOff>
      <xdr:row>14</xdr:row>
      <xdr:rowOff>31750</xdr:rowOff>
    </xdr:from>
    <xdr:to>
      <xdr:col>13</xdr:col>
      <xdr:colOff>2522855</xdr:colOff>
      <xdr:row>16</xdr:row>
      <xdr:rowOff>50800</xdr:rowOff>
    </xdr:to>
    <xdr:pic>
      <xdr:nvPicPr>
        <xdr:cNvPr id="6" name="2384804F-3998-4D57-9195-F3826E402611-2" descr="et"/>
        <xdr:cNvPicPr>
          <a:picLocks noChangeAspect="1"/>
        </xdr:cNvPicPr>
      </xdr:nvPicPr>
      <xdr:blipFill>
        <a:blip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1394440" y="3263900"/>
          <a:ext cx="2374265" cy="342900"/>
        </a:xfrm>
        <a:prstGeom prst="rect">
          <a:avLst/>
        </a:prstGeom>
      </xdr:spPr>
    </xdr:pic>
    <xdr:clientData/>
  </xdr:twoCellAnchor>
  <xdr:twoCellAnchor editAs="oneCell">
    <xdr:from>
      <xdr:col>13</xdr:col>
      <xdr:colOff>167005</xdr:colOff>
      <xdr:row>5</xdr:row>
      <xdr:rowOff>45720</xdr:rowOff>
    </xdr:from>
    <xdr:to>
      <xdr:col>13</xdr:col>
      <xdr:colOff>2072640</xdr:colOff>
      <xdr:row>5</xdr:row>
      <xdr:rowOff>318135</xdr:rowOff>
    </xdr:to>
    <xdr:pic>
      <xdr:nvPicPr>
        <xdr:cNvPr id="7" name="2384804F-3998-4D57-9195-F3826E402611-3" descr="et"/>
        <xdr:cNvPicPr>
          <a:picLocks noChangeAspect="1"/>
        </xdr:cNvPicPr>
      </xdr:nvPicPr>
      <xdr:blipFill>
        <a:blip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1412855" y="1614170"/>
          <a:ext cx="1905635" cy="272415"/>
        </a:xfrm>
        <a:prstGeom prst="rect">
          <a:avLst/>
        </a:prstGeom>
      </xdr:spPr>
    </xdr:pic>
    <xdr:clientData/>
  </xdr:twoCellAnchor>
  <xdr:twoCellAnchor editAs="oneCell">
    <xdr:from>
      <xdr:col>13</xdr:col>
      <xdr:colOff>342900</xdr:colOff>
      <xdr:row>7</xdr:row>
      <xdr:rowOff>20320</xdr:rowOff>
    </xdr:from>
    <xdr:to>
      <xdr:col>13</xdr:col>
      <xdr:colOff>1838960</xdr:colOff>
      <xdr:row>9</xdr:row>
      <xdr:rowOff>158115</xdr:rowOff>
    </xdr:to>
    <xdr:pic>
      <xdr:nvPicPr>
        <xdr:cNvPr id="8" name="2384804F-3998-4D57-9195-F3826E402611-4" descr="et"/>
        <xdr:cNvPicPr>
          <a:picLocks noChangeAspect="1"/>
        </xdr:cNvPicPr>
      </xdr:nvPicPr>
      <xdr:blipFill>
        <a:blip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1588750" y="2118995"/>
          <a:ext cx="1496060" cy="4616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130680</xdr:colOff>
      <xdr:row>0</xdr:row>
      <xdr:rowOff>88920</xdr:rowOff>
    </xdr:from>
    <xdr:to>
      <xdr:col>20</xdr:col>
      <xdr:colOff>689760</xdr:colOff>
      <xdr:row>52</xdr:row>
      <xdr:rowOff>5040</xdr:rowOff>
    </xdr:to>
    <xdr:graphicFrame>
      <xdr:nvGraphicFramePr>
        <xdr:cNvPr id="2" name="Chart 1"/>
        <xdr:cNvGraphicFramePr/>
      </xdr:nvGraphicFramePr>
      <xdr:xfrm>
        <a:off x="220980" y="88900"/>
        <a:ext cx="15182215" cy="83356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hysics.nist.gov/cgi-bin/cuu/Value?ep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physics.nist.gov/cgi-bin/cuu/Value?ep0" TargetMode="Externa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6"/>
  <sheetViews>
    <sheetView workbookViewId="0">
      <selection activeCell="J29" sqref="J29"/>
    </sheetView>
  </sheetViews>
  <sheetFormatPr defaultColWidth="9.14285714285714" defaultRowHeight="12.75"/>
  <cols>
    <col min="1" max="1" width="2.14285714285714" customWidth="1"/>
    <col min="9" max="9" width="2.42857142857143" customWidth="1"/>
    <col min="10" max="10" width="32" customWidth="1"/>
    <col min="11" max="11" width="27.1428571428571" customWidth="1"/>
    <col min="12" max="12" width="17.4285714285714" customWidth="1"/>
    <col min="13" max="13" width="16.7142857142857" customWidth="1"/>
    <col min="14" max="14" width="23.2857142857143" customWidth="1"/>
    <col min="15" max="15" width="25.8571428571429" customWidth="1"/>
  </cols>
  <sheetData>
    <row r="1" ht="27.75" spans="1:28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</row>
    <row r="2" ht="23.25" spans="2:30">
      <c r="B2" s="46" t="s">
        <v>1</v>
      </c>
      <c r="C2" s="46"/>
      <c r="D2" s="46"/>
      <c r="E2" s="46"/>
      <c r="F2" s="46"/>
      <c r="G2" s="46"/>
      <c r="J2" s="46" t="s">
        <v>2</v>
      </c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</row>
    <row r="3" spans="2:22">
      <c r="B3" s="47"/>
      <c r="C3" s="47"/>
      <c r="D3" s="47"/>
      <c r="E3" s="47"/>
      <c r="F3" s="47"/>
      <c r="G3" s="47"/>
      <c r="K3" s="76" t="s">
        <v>3</v>
      </c>
      <c r="L3" s="76" t="s">
        <v>4</v>
      </c>
      <c r="M3" s="76"/>
      <c r="N3" t="s">
        <v>5</v>
      </c>
      <c r="O3" s="76" t="s">
        <v>6</v>
      </c>
      <c r="P3" s="76"/>
      <c r="Q3" s="76"/>
      <c r="R3" s="76"/>
      <c r="S3" s="76"/>
      <c r="T3" s="76"/>
      <c r="U3" s="76"/>
      <c r="V3" s="76"/>
    </row>
    <row r="4" spans="2:22">
      <c r="B4" s="47"/>
      <c r="C4" s="47"/>
      <c r="D4" s="47"/>
      <c r="E4" s="47"/>
      <c r="F4" s="47"/>
      <c r="G4" s="47"/>
      <c r="J4" t="s">
        <v>7</v>
      </c>
      <c r="O4" s="76"/>
      <c r="P4" s="76"/>
      <c r="Q4" s="76"/>
      <c r="R4" s="76"/>
      <c r="S4" s="76"/>
      <c r="T4" s="76"/>
      <c r="U4" s="76"/>
      <c r="V4" s="76"/>
    </row>
    <row r="5" ht="69" customHeight="1" spans="2:10">
      <c r="B5" s="47"/>
      <c r="C5" s="47"/>
      <c r="D5" s="47"/>
      <c r="E5" s="47"/>
      <c r="F5" s="47"/>
      <c r="G5" s="47"/>
      <c r="J5" s="76" t="s">
        <v>8</v>
      </c>
    </row>
    <row r="6" spans="2:14">
      <c r="B6" s="47"/>
      <c r="C6" s="47"/>
      <c r="D6" s="47"/>
      <c r="E6" s="47"/>
      <c r="F6" s="47"/>
      <c r="G6" s="47"/>
      <c r="J6" t="s">
        <v>9</v>
      </c>
      <c r="K6" s="76" t="s">
        <v>10</v>
      </c>
      <c r="L6" s="76" t="s">
        <v>11</v>
      </c>
      <c r="M6" s="76" t="s">
        <v>12</v>
      </c>
      <c r="N6" s="76"/>
    </row>
    <row r="7" spans="2:7">
      <c r="B7" s="47"/>
      <c r="C7" s="47"/>
      <c r="D7" s="47"/>
      <c r="E7" s="47"/>
      <c r="F7" s="47"/>
      <c r="G7" s="47"/>
    </row>
    <row r="8" spans="2:7">
      <c r="B8" s="47"/>
      <c r="C8" s="47"/>
      <c r="D8" s="47"/>
      <c r="E8" s="47"/>
      <c r="F8" s="47"/>
      <c r="G8" s="47"/>
    </row>
    <row r="9" spans="2:7">
      <c r="B9" s="47"/>
      <c r="C9" s="47"/>
      <c r="D9" s="47"/>
      <c r="E9" s="47"/>
      <c r="F9" s="47"/>
      <c r="G9" s="47"/>
    </row>
    <row r="10" spans="2:7">
      <c r="B10" s="47"/>
      <c r="C10" s="47"/>
      <c r="D10" s="47"/>
      <c r="E10" s="47"/>
      <c r="F10" s="47"/>
      <c r="G10" s="47"/>
    </row>
    <row r="11" spans="2:7">
      <c r="B11" s="47" t="s">
        <v>13</v>
      </c>
      <c r="C11" s="47"/>
      <c r="D11" s="47"/>
      <c r="E11" s="47"/>
      <c r="F11" s="47"/>
      <c r="G11" s="47"/>
    </row>
    <row r="12" spans="2:7">
      <c r="B12" s="47"/>
      <c r="C12" s="47"/>
      <c r="D12" s="47"/>
      <c r="E12" s="47"/>
      <c r="F12" s="47"/>
      <c r="G12" s="47"/>
    </row>
    <row r="13" spans="2:8">
      <c r="B13" s="47"/>
      <c r="C13" s="47"/>
      <c r="D13" s="49"/>
      <c r="E13" s="50"/>
      <c r="F13" s="87"/>
      <c r="G13" s="87"/>
      <c r="H13" s="52" t="s">
        <v>14</v>
      </c>
    </row>
    <row r="14" spans="2:8">
      <c r="B14" s="53"/>
      <c r="C14" s="53"/>
      <c r="D14" s="54"/>
      <c r="E14" s="55"/>
      <c r="F14" s="53"/>
      <c r="G14" s="53"/>
      <c r="H14" s="56" t="s">
        <v>15</v>
      </c>
    </row>
    <row r="15" spans="2:8">
      <c r="B15" s="53" t="s">
        <v>16</v>
      </c>
      <c r="C15" s="53"/>
      <c r="D15" s="54"/>
      <c r="E15" s="55"/>
      <c r="F15" s="53"/>
      <c r="G15" s="53"/>
      <c r="H15" s="56"/>
    </row>
    <row r="16" spans="2:8">
      <c r="B16" s="53"/>
      <c r="C16" s="53"/>
      <c r="D16" s="54"/>
      <c r="E16" s="55"/>
      <c r="F16" s="53"/>
      <c r="G16" s="57"/>
      <c r="H16" s="58"/>
    </row>
    <row r="17" spans="2:7">
      <c r="B17" s="59"/>
      <c r="C17" s="59"/>
      <c r="D17" s="60"/>
      <c r="E17" s="61"/>
      <c r="F17" s="59"/>
      <c r="G17" s="59"/>
    </row>
    <row r="18" spans="4:5">
      <c r="D18" s="62"/>
      <c r="E18" s="63"/>
    </row>
    <row r="19" spans="4:5">
      <c r="D19" s="64" t="s">
        <v>17</v>
      </c>
      <c r="E19" s="65"/>
    </row>
    <row r="21" spans="2:7">
      <c r="B21" s="88" t="s">
        <v>17</v>
      </c>
      <c r="C21" s="89">
        <f>0.00095</f>
        <v>0.00095</v>
      </c>
      <c r="D21" s="89"/>
      <c r="E21" s="89"/>
      <c r="F21" s="89"/>
      <c r="G21" s="89"/>
    </row>
    <row r="22" spans="2:7">
      <c r="B22" s="88" t="s">
        <v>15</v>
      </c>
      <c r="C22" s="89">
        <f>0.000508</f>
        <v>0.000508</v>
      </c>
      <c r="D22" s="89"/>
      <c r="E22" s="89"/>
      <c r="F22" s="89"/>
      <c r="G22" s="89"/>
    </row>
    <row r="23" spans="2:7">
      <c r="B23" s="88" t="s">
        <v>14</v>
      </c>
      <c r="C23" s="89">
        <f>0.000017</f>
        <v>1.7e-5</v>
      </c>
      <c r="D23" s="89"/>
      <c r="E23" s="89"/>
      <c r="F23" s="89"/>
      <c r="G23" s="89"/>
    </row>
    <row r="24" ht="14.25" spans="2:7">
      <c r="B24" s="90" t="s">
        <v>13</v>
      </c>
      <c r="C24" s="89">
        <f>8.8541878188E-12</f>
        <v>8.8541878188e-12</v>
      </c>
      <c r="D24" s="89"/>
      <c r="E24" s="89"/>
      <c r="F24" s="89"/>
      <c r="G24" s="89"/>
    </row>
    <row r="25" spans="2:7">
      <c r="B25" s="91" t="s">
        <v>18</v>
      </c>
      <c r="C25" s="89">
        <f>0.00000125663706127</f>
        <v>1.25663706127e-6</v>
      </c>
      <c r="D25" s="89"/>
      <c r="E25" s="89"/>
      <c r="F25" s="89"/>
      <c r="G25" s="89"/>
    </row>
    <row r="26" spans="2:7">
      <c r="B26" s="88" t="s">
        <v>19</v>
      </c>
      <c r="C26" s="92">
        <v>5000000000</v>
      </c>
      <c r="D26" s="92"/>
      <c r="E26" s="92"/>
      <c r="F26" s="92"/>
      <c r="G26" s="92"/>
    </row>
  </sheetData>
  <mergeCells count="12">
    <mergeCell ref="A1:AB1"/>
    <mergeCell ref="B2:G2"/>
    <mergeCell ref="J2:AD2"/>
    <mergeCell ref="L3:M3"/>
    <mergeCell ref="D19:E19"/>
    <mergeCell ref="C21:G21"/>
    <mergeCell ref="C22:G22"/>
    <mergeCell ref="C23:G23"/>
    <mergeCell ref="C24:G24"/>
    <mergeCell ref="C25:G25"/>
    <mergeCell ref="C26:G26"/>
    <mergeCell ref="H14:H16"/>
  </mergeCells>
  <hyperlinks>
    <hyperlink ref="B24" r:id="rId1" display="ε0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0"/>
  <sheetViews>
    <sheetView tabSelected="1" workbookViewId="0">
      <selection activeCell="O12" sqref="O12"/>
    </sheetView>
  </sheetViews>
  <sheetFormatPr defaultColWidth="9.14285714285714" defaultRowHeight="12.75"/>
  <cols>
    <col min="1" max="1" width="2.14285714285714" customWidth="1"/>
    <col min="3" max="3" width="15.7142857142857"/>
    <col min="9" max="9" width="2.42857142857143" customWidth="1"/>
    <col min="10" max="10" width="18.8571428571429" style="43" customWidth="1"/>
    <col min="11" max="11" width="17.7142857142857" style="44" customWidth="1"/>
    <col min="12" max="12" width="31.5238095238095" style="44" customWidth="1"/>
    <col min="13" max="13" width="25.4285714285714" style="44" customWidth="1"/>
    <col min="14" max="14" width="40.4285714285714" customWidth="1"/>
    <col min="15" max="15" width="25.8571428571429" customWidth="1"/>
  </cols>
  <sheetData>
    <row r="1" ht="27.75" spans="1:28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71"/>
      <c r="K1" s="72"/>
      <c r="L1" s="72"/>
      <c r="M1" s="72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</row>
    <row r="2" ht="23.25" spans="2:30">
      <c r="B2" s="46" t="s">
        <v>1</v>
      </c>
      <c r="C2" s="46"/>
      <c r="D2" s="46"/>
      <c r="E2" s="46"/>
      <c r="F2" s="46"/>
      <c r="G2" s="46"/>
      <c r="J2" s="73" t="s">
        <v>2</v>
      </c>
      <c r="K2" s="74"/>
      <c r="L2" s="74"/>
      <c r="M2" s="74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</row>
    <row r="3" spans="2:22">
      <c r="B3" s="47"/>
      <c r="C3" s="47"/>
      <c r="D3" s="47"/>
      <c r="E3" s="47"/>
      <c r="F3" s="47"/>
      <c r="G3" s="47"/>
      <c r="K3" s="75"/>
      <c r="L3" s="75"/>
      <c r="M3" s="75"/>
      <c r="O3" s="76"/>
      <c r="P3" s="76"/>
      <c r="Q3" s="76"/>
      <c r="R3" s="76"/>
      <c r="S3" s="76"/>
      <c r="T3" s="76"/>
      <c r="U3" s="76"/>
      <c r="V3" s="76"/>
    </row>
    <row r="4" spans="2:22">
      <c r="B4" s="47" t="s">
        <v>20</v>
      </c>
      <c r="C4" s="47"/>
      <c r="D4" s="47"/>
      <c r="E4" s="47"/>
      <c r="F4" s="47"/>
      <c r="G4" s="47"/>
      <c r="O4" s="76"/>
      <c r="P4" s="76"/>
      <c r="Q4" s="76"/>
      <c r="R4" s="76"/>
      <c r="S4" s="76"/>
      <c r="T4" s="76"/>
      <c r="U4" s="76"/>
      <c r="V4" s="76"/>
    </row>
    <row r="5" ht="47" customHeight="1" spans="2:13">
      <c r="B5" s="48"/>
      <c r="C5" s="48"/>
      <c r="D5" s="48"/>
      <c r="E5" s="48"/>
      <c r="F5" s="48"/>
      <c r="G5" s="48"/>
      <c r="J5" s="77"/>
      <c r="K5" s="77"/>
      <c r="L5" s="77"/>
      <c r="M5" s="77"/>
    </row>
    <row r="6" ht="29" customHeight="1" spans="2:14">
      <c r="B6" s="48"/>
      <c r="C6" s="48"/>
      <c r="D6" s="48"/>
      <c r="E6" s="48"/>
      <c r="F6" s="48"/>
      <c r="G6" s="48"/>
      <c r="J6" s="78" t="s">
        <v>21</v>
      </c>
      <c r="K6" s="79"/>
      <c r="L6" s="79"/>
      <c r="M6" s="80"/>
      <c r="N6" s="76"/>
    </row>
    <row r="7" spans="2:13">
      <c r="B7" s="48"/>
      <c r="C7" s="48"/>
      <c r="D7" s="48"/>
      <c r="E7" s="48"/>
      <c r="F7" s="48"/>
      <c r="G7" s="48"/>
      <c r="J7" s="81">
        <v>1</v>
      </c>
      <c r="K7" s="82">
        <f>SQRT(1/(1+12*C22/C21))</f>
        <v>0.367189693972525</v>
      </c>
      <c r="L7" s="82">
        <f>SQRT(1/(1+12*C22/C21))+0.04*(1-C21/C22)^2</f>
        <v>0.397471174535486</v>
      </c>
      <c r="M7" s="83">
        <f>($C$25+J7)/2+(($C$25-J7)/2)*IF($C$21&gt;$C$22,$K$7,$L$7)</f>
        <v>3.31055058281357</v>
      </c>
    </row>
    <row r="8" spans="2:13">
      <c r="B8" s="48"/>
      <c r="C8" s="48"/>
      <c r="D8" s="48"/>
      <c r="E8" s="48"/>
      <c r="F8" s="48"/>
      <c r="G8" s="48"/>
      <c r="J8" s="81">
        <f>J7+0.5</f>
        <v>1.5</v>
      </c>
      <c r="K8" s="82"/>
      <c r="L8" s="82"/>
      <c r="M8" s="83">
        <f t="shared" ref="M8:M28" si="0">($C$25+J8)/2+(($C$25-J8)/2)*IF($C$21&gt;$C$22,$K$7,$L$7)</f>
        <v>3.46875315932044</v>
      </c>
    </row>
    <row r="9" spans="2:13">
      <c r="B9" s="48"/>
      <c r="C9" s="48"/>
      <c r="D9" s="48"/>
      <c r="E9" s="48"/>
      <c r="F9" s="48"/>
      <c r="G9" s="48"/>
      <c r="J9" s="81">
        <f t="shared" ref="J9:J29" si="1">J8+0.5</f>
        <v>2</v>
      </c>
      <c r="K9" s="82"/>
      <c r="L9" s="82"/>
      <c r="M9" s="83">
        <f t="shared" si="0"/>
        <v>3.6269557358273</v>
      </c>
    </row>
    <row r="10" spans="2:13">
      <c r="B10" s="48"/>
      <c r="C10" s="48"/>
      <c r="D10" s="48"/>
      <c r="E10" s="48"/>
      <c r="F10" s="48"/>
      <c r="G10" s="48"/>
      <c r="J10" s="81">
        <f t="shared" si="1"/>
        <v>2.5</v>
      </c>
      <c r="K10" s="82"/>
      <c r="L10" s="82"/>
      <c r="M10" s="83">
        <f t="shared" si="0"/>
        <v>3.78515831233417</v>
      </c>
    </row>
    <row r="11" spans="2:13">
      <c r="B11" s="48" t="s">
        <v>22</v>
      </c>
      <c r="C11" s="48"/>
      <c r="D11" s="48"/>
      <c r="E11" s="48"/>
      <c r="F11" s="48"/>
      <c r="G11" s="48"/>
      <c r="J11" s="81">
        <f t="shared" si="1"/>
        <v>3</v>
      </c>
      <c r="K11" s="82"/>
      <c r="L11" s="82"/>
      <c r="M11" s="83">
        <f t="shared" si="0"/>
        <v>3.94336088884104</v>
      </c>
    </row>
    <row r="12" spans="2:13">
      <c r="B12" s="48"/>
      <c r="C12" s="48"/>
      <c r="D12" s="48"/>
      <c r="E12" s="48"/>
      <c r="F12" s="48"/>
      <c r="G12" s="48"/>
      <c r="J12" s="81">
        <f t="shared" si="1"/>
        <v>3.5</v>
      </c>
      <c r="K12" s="82"/>
      <c r="L12" s="82"/>
      <c r="M12" s="83">
        <f t="shared" si="0"/>
        <v>4.10156346534791</v>
      </c>
    </row>
    <row r="13" spans="2:13">
      <c r="B13" s="48"/>
      <c r="C13" s="48"/>
      <c r="D13" s="49"/>
      <c r="E13" s="50"/>
      <c r="F13" s="51"/>
      <c r="G13" s="51"/>
      <c r="H13" s="52" t="s">
        <v>14</v>
      </c>
      <c r="J13" s="81">
        <f t="shared" si="1"/>
        <v>4</v>
      </c>
      <c r="K13" s="82"/>
      <c r="L13" s="82"/>
      <c r="M13" s="83">
        <f t="shared" si="0"/>
        <v>4.25976604185478</v>
      </c>
    </row>
    <row r="14" spans="2:13">
      <c r="B14" s="53"/>
      <c r="C14" s="53"/>
      <c r="D14" s="54"/>
      <c r="E14" s="55"/>
      <c r="F14" s="53"/>
      <c r="G14" s="53"/>
      <c r="H14" s="56" t="s">
        <v>15</v>
      </c>
      <c r="J14" s="81">
        <f t="shared" si="1"/>
        <v>4.5</v>
      </c>
      <c r="K14" s="82"/>
      <c r="L14" s="82"/>
      <c r="M14" s="83">
        <f t="shared" si="0"/>
        <v>4.41796861836165</v>
      </c>
    </row>
    <row r="15" spans="2:13">
      <c r="B15" s="53" t="s">
        <v>16</v>
      </c>
      <c r="C15" s="53"/>
      <c r="D15" s="54"/>
      <c r="E15" s="55"/>
      <c r="F15" s="53"/>
      <c r="G15" s="53"/>
      <c r="H15" s="56"/>
      <c r="J15" s="81">
        <f t="shared" si="1"/>
        <v>5</v>
      </c>
      <c r="K15" s="82"/>
      <c r="L15" s="82"/>
      <c r="M15" s="83">
        <f t="shared" si="0"/>
        <v>4.57617119486852</v>
      </c>
    </row>
    <row r="16" spans="2:13">
      <c r="B16" s="53"/>
      <c r="C16" s="53"/>
      <c r="D16" s="54"/>
      <c r="E16" s="55"/>
      <c r="F16" s="53"/>
      <c r="G16" s="57"/>
      <c r="H16" s="58"/>
      <c r="J16" s="81">
        <f t="shared" si="1"/>
        <v>5.5</v>
      </c>
      <c r="K16" s="82"/>
      <c r="L16" s="82"/>
      <c r="M16" s="83">
        <f t="shared" si="0"/>
        <v>4.73437377137539</v>
      </c>
    </row>
    <row r="17" spans="2:13">
      <c r="B17" s="59"/>
      <c r="C17" s="59"/>
      <c r="D17" s="60"/>
      <c r="E17" s="61"/>
      <c r="F17" s="59"/>
      <c r="G17" s="59"/>
      <c r="J17" s="81">
        <f t="shared" si="1"/>
        <v>6</v>
      </c>
      <c r="K17" s="82"/>
      <c r="L17" s="82"/>
      <c r="M17" s="83">
        <f t="shared" si="0"/>
        <v>4.89257634788225</v>
      </c>
    </row>
    <row r="18" spans="4:13">
      <c r="D18" s="62"/>
      <c r="E18" s="63"/>
      <c r="J18" s="81">
        <f t="shared" si="1"/>
        <v>6.5</v>
      </c>
      <c r="K18" s="82"/>
      <c r="L18" s="82"/>
      <c r="M18" s="83">
        <f t="shared" si="0"/>
        <v>5.05077892438912</v>
      </c>
    </row>
    <row r="19" spans="4:13">
      <c r="D19" s="64" t="s">
        <v>17</v>
      </c>
      <c r="E19" s="65"/>
      <c r="J19" s="81">
        <f t="shared" si="1"/>
        <v>7</v>
      </c>
      <c r="K19" s="82"/>
      <c r="L19" s="82"/>
      <c r="M19" s="83">
        <f t="shared" si="0"/>
        <v>5.20898150089599</v>
      </c>
    </row>
    <row r="20" spans="10:13">
      <c r="J20" s="81">
        <f t="shared" si="1"/>
        <v>7.5</v>
      </c>
      <c r="K20" s="82"/>
      <c r="L20" s="82"/>
      <c r="M20" s="83">
        <f t="shared" si="0"/>
        <v>5.36718407740286</v>
      </c>
    </row>
    <row r="21" ht="14.25" spans="2:13">
      <c r="B21" s="66" t="s">
        <v>17</v>
      </c>
      <c r="C21" s="67">
        <f>0.00095</f>
        <v>0.00095</v>
      </c>
      <c r="D21" s="67"/>
      <c r="E21" s="67"/>
      <c r="F21" s="67"/>
      <c r="G21" s="67"/>
      <c r="J21" s="81">
        <f t="shared" si="1"/>
        <v>8</v>
      </c>
      <c r="K21" s="82"/>
      <c r="L21" s="82"/>
      <c r="M21" s="83">
        <f t="shared" si="0"/>
        <v>5.52538665390973</v>
      </c>
    </row>
    <row r="22" ht="14.25" spans="2:13">
      <c r="B22" s="66" t="s">
        <v>15</v>
      </c>
      <c r="C22" s="67">
        <f>0.000508</f>
        <v>0.000508</v>
      </c>
      <c r="D22" s="67"/>
      <c r="E22" s="67"/>
      <c r="F22" s="67"/>
      <c r="G22" s="67"/>
      <c r="J22" s="81">
        <f t="shared" si="1"/>
        <v>8.5</v>
      </c>
      <c r="K22" s="82"/>
      <c r="L22" s="82"/>
      <c r="M22" s="83">
        <f t="shared" si="0"/>
        <v>5.6835892304166</v>
      </c>
    </row>
    <row r="23" ht="14.25" spans="2:13">
      <c r="B23" s="66" t="s">
        <v>14</v>
      </c>
      <c r="C23" s="67">
        <f>0.000017</f>
        <v>1.7e-5</v>
      </c>
      <c r="D23" s="67"/>
      <c r="E23" s="67"/>
      <c r="F23" s="67"/>
      <c r="G23" s="67"/>
      <c r="J23" s="81">
        <f t="shared" si="1"/>
        <v>9</v>
      </c>
      <c r="K23" s="82"/>
      <c r="L23" s="82"/>
      <c r="M23" s="83">
        <f t="shared" si="0"/>
        <v>5.84179180692347</v>
      </c>
    </row>
    <row r="24" ht="14.25" spans="2:13">
      <c r="B24" s="68" t="s">
        <v>13</v>
      </c>
      <c r="C24" s="67">
        <f>8.8541878188E-12</f>
        <v>8.8541878188e-12</v>
      </c>
      <c r="D24" s="67"/>
      <c r="E24" s="67"/>
      <c r="F24" s="67"/>
      <c r="G24" s="67"/>
      <c r="J24" s="81">
        <f t="shared" si="1"/>
        <v>9.5</v>
      </c>
      <c r="K24" s="82"/>
      <c r="L24" s="82"/>
      <c r="M24" s="83">
        <f t="shared" si="0"/>
        <v>5.99999438343034</v>
      </c>
    </row>
    <row r="25" ht="15" spans="2:13">
      <c r="B25" s="69" t="s">
        <v>23</v>
      </c>
      <c r="C25" s="67">
        <v>4.38</v>
      </c>
      <c r="D25" s="67"/>
      <c r="E25" s="67"/>
      <c r="F25" s="67"/>
      <c r="G25" s="67"/>
      <c r="J25" s="81">
        <f t="shared" si="1"/>
        <v>10</v>
      </c>
      <c r="K25" s="82"/>
      <c r="L25" s="82"/>
      <c r="M25" s="83">
        <f t="shared" si="0"/>
        <v>6.1581969599372</v>
      </c>
    </row>
    <row r="26" ht="15" spans="2:13">
      <c r="B26" s="69" t="s">
        <v>24</v>
      </c>
      <c r="C26" s="67">
        <f>0.00000125663706127</f>
        <v>1.25663706127e-6</v>
      </c>
      <c r="D26" s="67"/>
      <c r="E26" s="67"/>
      <c r="F26" s="67"/>
      <c r="G26" s="67"/>
      <c r="J26" s="81">
        <f t="shared" si="1"/>
        <v>10.5</v>
      </c>
      <c r="K26" s="82"/>
      <c r="L26" s="82"/>
      <c r="M26" s="83">
        <f t="shared" si="0"/>
        <v>6.31639953644407</v>
      </c>
    </row>
    <row r="27" ht="14.25" spans="2:13">
      <c r="B27" s="66" t="s">
        <v>19</v>
      </c>
      <c r="C27" s="70">
        <v>5000000000</v>
      </c>
      <c r="D27" s="70"/>
      <c r="E27" s="70"/>
      <c r="F27" s="70"/>
      <c r="G27" s="70"/>
      <c r="J27" s="81">
        <f t="shared" si="1"/>
        <v>11</v>
      </c>
      <c r="K27" s="82"/>
      <c r="L27" s="82"/>
      <c r="M27" s="83">
        <f t="shared" si="0"/>
        <v>6.47460211295094</v>
      </c>
    </row>
    <row r="28" ht="13.5" spans="10:13">
      <c r="J28" s="84">
        <f t="shared" si="1"/>
        <v>11.5</v>
      </c>
      <c r="K28" s="85"/>
      <c r="L28" s="85"/>
      <c r="M28" s="86">
        <f t="shared" si="0"/>
        <v>6.63280468945781</v>
      </c>
    </row>
    <row r="29" spans="10:13">
      <c r="J29" s="43">
        <f>C25</f>
        <v>4.38</v>
      </c>
      <c r="K29" s="82"/>
      <c r="L29" s="82"/>
      <c r="M29" s="82">
        <f>($C$25+J29)/2+(($C$25-J29)/2)*IF($C$21&gt;$C$22,$K$7,$L$7)</f>
        <v>4.38</v>
      </c>
    </row>
    <row r="30" spans="11:13">
      <c r="K30" s="82"/>
      <c r="L30" s="82"/>
      <c r="M30" s="82"/>
    </row>
  </sheetData>
  <mergeCells count="14">
    <mergeCell ref="A1:AB1"/>
    <mergeCell ref="B2:G2"/>
    <mergeCell ref="J2:AD2"/>
    <mergeCell ref="L3:M3"/>
    <mergeCell ref="J5:M5"/>
    <mergeCell ref="D19:E19"/>
    <mergeCell ref="C21:G21"/>
    <mergeCell ref="C22:G22"/>
    <mergeCell ref="C23:G23"/>
    <mergeCell ref="C24:G24"/>
    <mergeCell ref="C25:G25"/>
    <mergeCell ref="C26:G26"/>
    <mergeCell ref="C27:G27"/>
    <mergeCell ref="H14:H16"/>
  </mergeCells>
  <hyperlinks>
    <hyperlink ref="B24" r:id="rId2" display="ε0"/>
  </hyperlink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6"/>
  <sheetViews>
    <sheetView workbookViewId="0">
      <selection activeCell="J29" sqref="J29"/>
    </sheetView>
  </sheetViews>
  <sheetFormatPr defaultColWidth="11.5428571428571" defaultRowHeight="12.75" customHeight="1"/>
  <cols>
    <col min="1" max="1" width="19.4571428571429" style="2" customWidth="1"/>
    <col min="2" max="2" width="19.4571428571429" style="3" customWidth="1"/>
    <col min="3" max="3" width="19.0857142857143" style="4" customWidth="1"/>
    <col min="4" max="4" width="1.26666666666667" style="5" customWidth="1"/>
    <col min="5" max="5" width="20.7238095238095" hidden="1" customWidth="1" outlineLevel="1"/>
    <col min="6" max="6" width="20.7238095238095" style="5" hidden="1" customWidth="1" outlineLevel="1"/>
    <col min="7" max="8" width="20.7238095238095" style="6" hidden="1" customWidth="1" outlineLevel="1"/>
    <col min="9" max="9" width="1.26666666666667" style="7" hidden="1" customWidth="1" outlineLevel="1"/>
    <col min="10" max="10" width="17.0857142857143" style="2" hidden="1" customWidth="1" outlineLevel="1"/>
    <col min="11" max="11" width="21.8190476190476" style="2" hidden="1" customWidth="1" outlineLevel="1"/>
    <col min="12" max="12" width="1.26666666666667" style="8" hidden="1" customWidth="1" outlineLevel="1"/>
    <col min="13" max="13" width="15.4571428571429" style="9" hidden="1" customWidth="1" outlineLevel="1"/>
    <col min="14" max="14" width="21.0857142857143" style="2" hidden="1" customWidth="1" outlineLevel="1"/>
    <col min="15" max="15" width="1.26666666666667" hidden="1" customWidth="1" outlineLevel="1"/>
    <col min="16" max="16" width="20.7238095238095" style="10" customWidth="1" collapsed="1"/>
    <col min="17" max="17" width="20.7238095238095" style="11" customWidth="1"/>
    <col min="18" max="18" width="20.7238095238095" style="12" customWidth="1"/>
    <col min="19" max="19" width="20.7238095238095" style="11" customWidth="1"/>
    <col min="20" max="20" width="2.08571428571429" customWidth="1"/>
    <col min="21" max="22" width="19.4571428571429" style="13" customWidth="1"/>
    <col min="23" max="23" width="19.4571428571429" style="14" customWidth="1"/>
    <col min="24" max="24" width="1.62857142857143" customWidth="1"/>
  </cols>
  <sheetData>
    <row r="1" customHeight="1" spans="1:19">
      <c r="A1" s="15" t="s">
        <v>25</v>
      </c>
      <c r="B1" s="16">
        <v>299792458</v>
      </c>
      <c r="C1" s="4">
        <f>(490.76*4.38+183.31*1)/(490.76+183.31)</f>
        <v>3.4608257302654</v>
      </c>
      <c r="D1" s="17"/>
      <c r="F1" s="18"/>
      <c r="I1" s="32"/>
      <c r="L1" s="33"/>
      <c r="O1" s="24"/>
      <c r="P1" s="10" t="s">
        <v>26</v>
      </c>
      <c r="Q1" s="11">
        <v>4.38</v>
      </c>
      <c r="R1" s="12" t="s">
        <v>27</v>
      </c>
      <c r="S1" s="38">
        <v>8.8542e-12</v>
      </c>
    </row>
    <row r="2" customHeight="1" spans="1:17">
      <c r="A2" s="15" t="s">
        <v>28</v>
      </c>
      <c r="B2" s="19">
        <v>0.01</v>
      </c>
      <c r="D2" s="20"/>
      <c r="I2" s="32"/>
      <c r="L2" s="33"/>
      <c r="O2" s="24"/>
      <c r="P2" s="10" t="s">
        <v>29</v>
      </c>
      <c r="Q2" s="11">
        <v>1</v>
      </c>
    </row>
    <row r="3" customHeight="1" spans="4:15">
      <c r="D3" s="20"/>
      <c r="I3" s="32"/>
      <c r="L3" s="33"/>
      <c r="O3" s="24"/>
    </row>
    <row r="4" ht="7.5" customHeight="1" spans="1:15">
      <c r="A4" s="21"/>
      <c r="B4" s="22"/>
      <c r="C4" s="23"/>
      <c r="D4" s="20"/>
      <c r="E4" s="24"/>
      <c r="F4" s="20"/>
      <c r="G4" s="25"/>
      <c r="H4" s="25"/>
      <c r="I4" s="32"/>
      <c r="J4" s="21"/>
      <c r="K4" s="21"/>
      <c r="L4" s="33"/>
      <c r="M4" s="34"/>
      <c r="N4" s="21"/>
      <c r="O4" s="24"/>
    </row>
    <row r="5" s="1" customFormat="1" ht="59" customHeight="1" spans="1:16384">
      <c r="A5" s="26" t="s">
        <v>30</v>
      </c>
      <c r="B5" s="27" t="s">
        <v>31</v>
      </c>
      <c r="C5" s="27" t="s">
        <v>32</v>
      </c>
      <c r="D5" s="28"/>
      <c r="E5" s="29" t="s">
        <v>33</v>
      </c>
      <c r="F5" s="29" t="s">
        <v>34</v>
      </c>
      <c r="G5" s="30" t="s">
        <v>35</v>
      </c>
      <c r="H5" s="30" t="s">
        <v>36</v>
      </c>
      <c r="I5" s="35"/>
      <c r="J5" s="26" t="s">
        <v>37</v>
      </c>
      <c r="K5" s="26" t="s">
        <v>38</v>
      </c>
      <c r="L5" s="35"/>
      <c r="M5" s="36" t="s">
        <v>39</v>
      </c>
      <c r="N5" s="26" t="s">
        <v>40</v>
      </c>
      <c r="O5" s="35"/>
      <c r="P5" s="37"/>
      <c r="Q5" s="39"/>
      <c r="R5" s="40"/>
      <c r="S5" s="39"/>
      <c r="U5" s="41" t="s">
        <v>41</v>
      </c>
      <c r="V5" s="41" t="s">
        <v>42</v>
      </c>
      <c r="W5" s="39" t="s">
        <v>43</v>
      </c>
      <c r="X5" s="42"/>
      <c r="AB5" s="1" t="s">
        <v>44</v>
      </c>
      <c r="XEY5" s="42"/>
      <c r="XEZ5" s="42"/>
      <c r="XFA5" s="42"/>
      <c r="XFB5" s="42"/>
      <c r="XFC5"/>
      <c r="XFD5"/>
    </row>
    <row r="6" customHeight="1" spans="1:23">
      <c r="A6" s="2">
        <v>3</v>
      </c>
      <c r="B6" s="4" t="s">
        <v>45</v>
      </c>
      <c r="C6" s="4" t="s">
        <v>46</v>
      </c>
      <c r="D6" s="20"/>
      <c r="E6" s="3">
        <f t="shared" ref="E6:E37" si="0">(A6*1000000000)*2*PI()</f>
        <v>18849555921.5388</v>
      </c>
      <c r="G6" s="31">
        <f t="shared" ref="G6:G37" si="1">IF(ISNUMBER(G5),(G5-(DEGREES(ATAN2(IMAGINARY(B6),IMREAL(B6)))-DEGREES(ATAN2(IMAGINARY(B5),IMREAL(B5))))+360*ROUND((DEGREES(ATAN2(IMAGINARY(B6),IMREAL(B6)))-DEGREES(ATAN2(IMAGINARY(B5),IMREAL(B5))))/360,0)),90-(DEGREES(ATAN2(IMAGINARY(B6),IMREAL(B6)))))</f>
        <v>-69.3266487576404</v>
      </c>
      <c r="H6" s="6">
        <f t="shared" ref="H6:H37" si="2">G6/180*PI()</f>
        <v>-1.20997828019446</v>
      </c>
      <c r="I6" s="32"/>
      <c r="J6" s="2">
        <f t="shared" ref="J6:J37" si="3">-H6/$B$2</f>
        <v>120.997828019446</v>
      </c>
      <c r="K6" s="2">
        <f t="shared" ref="K6:K37" si="4">($B$1/E6*J6)^2</f>
        <v>3.70334616327758</v>
      </c>
      <c r="L6" s="33"/>
      <c r="M6" s="9" t="e">
        <f t="shared" ref="M6:M37" si="5">-((H6-H5)/(E6-E5))</f>
        <v>#VALUE!</v>
      </c>
      <c r="N6" s="2" t="e">
        <f t="shared" ref="N6:N37" si="6">($B$1*M6/$B$2)^2</f>
        <v>#VALUE!</v>
      </c>
      <c r="O6" s="24"/>
      <c r="P6" s="10">
        <v>1.466193291</v>
      </c>
      <c r="Q6" s="10">
        <v>2.8739246</v>
      </c>
      <c r="R6" s="13">
        <f>(P6*$Q$2*$S$1/2)</f>
        <v>6.4909843185861e-12</v>
      </c>
      <c r="S6" s="13">
        <f t="shared" ref="S6:S37" si="7">(Q6*$Q$1*$S$1/2)</f>
        <v>5.57274039933708e-11</v>
      </c>
      <c r="U6" s="13">
        <v>5.572732731e-11</v>
      </c>
      <c r="V6" s="13">
        <v>6.490975388e-12</v>
      </c>
      <c r="W6" s="14">
        <f t="shared" ref="W6:W37" si="8">(U6+V6)/((U6/$Q$1)+(V6/$Q$2))</f>
        <v>3.23815697898175</v>
      </c>
    </row>
    <row r="7" customHeight="1" spans="1:23">
      <c r="A7" s="2">
        <v>3.04</v>
      </c>
      <c r="B7" s="4" t="s">
        <v>47</v>
      </c>
      <c r="C7" s="4" t="s">
        <v>48</v>
      </c>
      <c r="D7" s="20"/>
      <c r="E7" s="3">
        <f t="shared" si="0"/>
        <v>19100883333.8259</v>
      </c>
      <c r="G7" s="31">
        <f t="shared" si="1"/>
        <v>-70.3868624352775</v>
      </c>
      <c r="H7" s="6">
        <f t="shared" si="2"/>
        <v>-1.22848249964391</v>
      </c>
      <c r="I7" s="32"/>
      <c r="J7" s="2">
        <f t="shared" si="3"/>
        <v>122.848249964391</v>
      </c>
      <c r="K7" s="2">
        <f t="shared" si="4"/>
        <v>3.71768381006234</v>
      </c>
      <c r="L7" s="33"/>
      <c r="M7" s="9">
        <f t="shared" si="5"/>
        <v>7.36259498359081e-11</v>
      </c>
      <c r="N7" s="2">
        <f t="shared" si="6"/>
        <v>4.87195453749963</v>
      </c>
      <c r="O7" s="24"/>
      <c r="P7" s="10">
        <v>1.466085069</v>
      </c>
      <c r="Q7" s="10">
        <v>3.8739246</v>
      </c>
      <c r="R7" s="13">
        <f t="shared" ref="R6:R37" si="9">(P7*$Q$2*$S$1/2)</f>
        <v>6.4905052089699e-12</v>
      </c>
      <c r="S7" s="13">
        <f t="shared" si="7"/>
        <v>7.51181019933708e-11</v>
      </c>
      <c r="U7" s="13">
        <v>5.573181424e-11</v>
      </c>
      <c r="V7" s="13">
        <v>6.490496278e-12</v>
      </c>
      <c r="W7" s="14">
        <f t="shared" si="8"/>
        <v>3.23827366296732</v>
      </c>
    </row>
    <row r="8" customHeight="1" spans="1:23">
      <c r="A8" s="2">
        <v>3.08</v>
      </c>
      <c r="B8" s="4" t="s">
        <v>49</v>
      </c>
      <c r="C8" s="4" t="s">
        <v>50</v>
      </c>
      <c r="D8" s="20"/>
      <c r="E8" s="3">
        <f t="shared" si="0"/>
        <v>19352210746.1131</v>
      </c>
      <c r="G8" s="31">
        <f t="shared" si="1"/>
        <v>-71.4408970233793</v>
      </c>
      <c r="H8" s="6">
        <f t="shared" si="2"/>
        <v>-1.24687887363619</v>
      </c>
      <c r="I8" s="32"/>
      <c r="J8" s="2">
        <f t="shared" si="3"/>
        <v>124.687887363619</v>
      </c>
      <c r="K8" s="2">
        <f t="shared" si="4"/>
        <v>3.73103024241016</v>
      </c>
      <c r="L8" s="33"/>
      <c r="M8" s="9">
        <f t="shared" si="5"/>
        <v>7.31968463959637e-11</v>
      </c>
      <c r="N8" s="2">
        <f t="shared" si="6"/>
        <v>4.81533101370384</v>
      </c>
      <c r="O8" s="24"/>
      <c r="P8" s="10">
        <v>1.466042164</v>
      </c>
      <c r="Q8" s="10">
        <v>4.8739246</v>
      </c>
      <c r="R8" s="13">
        <f t="shared" si="9"/>
        <v>6.4903152642444e-12</v>
      </c>
      <c r="S8" s="13">
        <f t="shared" si="7"/>
        <v>9.45087999933708e-11</v>
      </c>
      <c r="U8" s="13">
        <v>5.573853413e-11</v>
      </c>
      <c r="V8" s="13">
        <v>6.490306335e-12</v>
      </c>
      <c r="W8" s="14">
        <f t="shared" si="8"/>
        <v>3.23838694385669</v>
      </c>
    </row>
    <row r="9" customHeight="1" spans="1:23">
      <c r="A9" s="2">
        <v>3.12</v>
      </c>
      <c r="B9" s="4" t="s">
        <v>51</v>
      </c>
      <c r="C9" s="4" t="s">
        <v>52</v>
      </c>
      <c r="D9" s="20"/>
      <c r="E9" s="3">
        <f t="shared" si="0"/>
        <v>19603538158.4003</v>
      </c>
      <c r="G9" s="31">
        <f t="shared" si="1"/>
        <v>-72.4877146073028</v>
      </c>
      <c r="H9" s="6">
        <f t="shared" si="2"/>
        <v>-1.26514928714342</v>
      </c>
      <c r="I9" s="32"/>
      <c r="J9" s="2">
        <f t="shared" si="3"/>
        <v>126.514928714342</v>
      </c>
      <c r="K9" s="2">
        <f t="shared" si="4"/>
        <v>3.74331204193918</v>
      </c>
      <c r="L9" s="33"/>
      <c r="M9" s="9">
        <f t="shared" si="5"/>
        <v>7.26956655502388e-11</v>
      </c>
      <c r="N9" s="2">
        <f t="shared" si="6"/>
        <v>4.74961535393795</v>
      </c>
      <c r="O9" s="24"/>
      <c r="P9" s="10">
        <v>1.466061037</v>
      </c>
      <c r="Q9" s="10">
        <v>5.8739246</v>
      </c>
      <c r="R9" s="13">
        <f t="shared" si="9"/>
        <v>6.4903988169027e-12</v>
      </c>
      <c r="S9" s="13">
        <f t="shared" si="7"/>
        <v>1.13899497993371e-10</v>
      </c>
      <c r="U9" s="13">
        <v>5.57474353e-11</v>
      </c>
      <c r="V9" s="13">
        <v>6.490389885e-12</v>
      </c>
      <c r="W9" s="14">
        <f t="shared" si="8"/>
        <v>3.23849793308573</v>
      </c>
    </row>
    <row r="10" customHeight="1" spans="1:23">
      <c r="A10" s="2">
        <v>3.16</v>
      </c>
      <c r="B10" s="4" t="s">
        <v>53</v>
      </c>
      <c r="C10" s="4" t="s">
        <v>54</v>
      </c>
      <c r="D10" s="20"/>
      <c r="E10" s="3">
        <f t="shared" si="0"/>
        <v>19854865570.6875</v>
      </c>
      <c r="G10" s="31">
        <f t="shared" si="1"/>
        <v>-73.5281207412186</v>
      </c>
      <c r="H10" s="6">
        <f t="shared" si="2"/>
        <v>-1.2833077997382</v>
      </c>
      <c r="I10" s="32"/>
      <c r="J10" s="2">
        <f t="shared" si="3"/>
        <v>128.33077997382</v>
      </c>
      <c r="K10" s="2">
        <f t="shared" si="4"/>
        <v>3.75464751288901</v>
      </c>
      <c r="L10" s="33"/>
      <c r="M10" s="9">
        <f t="shared" si="5"/>
        <v>7.22504259663785e-11</v>
      </c>
      <c r="N10" s="2">
        <f t="shared" si="6"/>
        <v>4.69161352567405</v>
      </c>
      <c r="O10" s="24"/>
      <c r="P10" s="10">
        <v>1.466139824</v>
      </c>
      <c r="Q10" s="10">
        <v>6.8739246</v>
      </c>
      <c r="R10" s="13">
        <f t="shared" si="9"/>
        <v>6.4907476148304e-12</v>
      </c>
      <c r="S10" s="13">
        <f t="shared" si="7"/>
        <v>1.33290195993371e-10</v>
      </c>
      <c r="U10" s="13">
        <v>5.5758461e-11</v>
      </c>
      <c r="V10" s="13">
        <v>6.490738685e-12</v>
      </c>
      <c r="W10" s="14">
        <f t="shared" si="8"/>
        <v>3.23860680868354</v>
      </c>
    </row>
    <row r="11" customHeight="1" spans="1:23">
      <c r="A11" s="2">
        <v>3.2</v>
      </c>
      <c r="B11" s="4" t="s">
        <v>55</v>
      </c>
      <c r="C11" s="4" t="s">
        <v>56</v>
      </c>
      <c r="D11" s="20"/>
      <c r="E11" s="3">
        <f t="shared" si="0"/>
        <v>20106192982.9747</v>
      </c>
      <c r="G11" s="31">
        <f t="shared" si="1"/>
        <v>-74.5615933708834</v>
      </c>
      <c r="H11" s="6">
        <f t="shared" si="2"/>
        <v>-1.30134529985509</v>
      </c>
      <c r="I11" s="32"/>
      <c r="J11" s="2">
        <f t="shared" si="3"/>
        <v>130.134529985509</v>
      </c>
      <c r="K11" s="2">
        <f t="shared" si="4"/>
        <v>3.76501584444627</v>
      </c>
      <c r="L11" s="33"/>
      <c r="M11" s="9">
        <f t="shared" si="5"/>
        <v>7.17689326156075e-11</v>
      </c>
      <c r="N11" s="2">
        <f t="shared" si="6"/>
        <v>4.62928991982668</v>
      </c>
      <c r="O11" s="24"/>
      <c r="P11" s="10">
        <v>1.466277424</v>
      </c>
      <c r="Q11" s="10">
        <v>7.8739246</v>
      </c>
      <c r="R11" s="13">
        <f t="shared" si="9"/>
        <v>6.4913567837904e-12</v>
      </c>
      <c r="S11" s="13">
        <f t="shared" si="7"/>
        <v>1.52680893993371e-10</v>
      </c>
      <c r="U11" s="13">
        <v>5.577155238e-11</v>
      </c>
      <c r="V11" s="13">
        <v>6.491347854e-12</v>
      </c>
      <c r="W11" s="14">
        <f t="shared" si="8"/>
        <v>3.23871332959712</v>
      </c>
    </row>
    <row r="12" customHeight="1" spans="1:23">
      <c r="A12" s="2">
        <v>3.24</v>
      </c>
      <c r="B12" s="4" t="s">
        <v>57</v>
      </c>
      <c r="C12" s="4" t="s">
        <v>58</v>
      </c>
      <c r="D12" s="20"/>
      <c r="E12" s="3">
        <f t="shared" si="0"/>
        <v>20357520395.2619</v>
      </c>
      <c r="G12" s="31">
        <f t="shared" si="1"/>
        <v>-75.5887625224118</v>
      </c>
      <c r="H12" s="6">
        <f t="shared" si="2"/>
        <v>-1.31927278352418</v>
      </c>
      <c r="I12" s="32"/>
      <c r="J12" s="2">
        <f t="shared" si="3"/>
        <v>131.927278352418</v>
      </c>
      <c r="K12" s="2">
        <f t="shared" si="4"/>
        <v>3.77451238632227</v>
      </c>
      <c r="L12" s="33"/>
      <c r="M12" s="9">
        <f t="shared" si="5"/>
        <v>7.13311910783628e-11</v>
      </c>
      <c r="N12" s="2">
        <f t="shared" si="6"/>
        <v>4.57299111519813</v>
      </c>
      <c r="O12" s="24"/>
      <c r="P12" s="10">
        <v>1.466472928</v>
      </c>
      <c r="Q12" s="10">
        <v>8.8739246</v>
      </c>
      <c r="R12" s="13">
        <f t="shared" si="9"/>
        <v>6.4922222995488e-12</v>
      </c>
      <c r="S12" s="13">
        <f t="shared" si="7"/>
        <v>1.72071591993371e-10</v>
      </c>
      <c r="U12" s="13">
        <v>5.578666204e-11</v>
      </c>
      <c r="V12" s="13">
        <v>6.492213367e-12</v>
      </c>
      <c r="W12" s="14">
        <f t="shared" si="8"/>
        <v>3.23881731136234</v>
      </c>
    </row>
    <row r="13" customHeight="1" spans="1:23">
      <c r="A13" s="2">
        <v>3.28</v>
      </c>
      <c r="B13" s="4" t="s">
        <v>59</v>
      </c>
      <c r="C13" s="4" t="s">
        <v>60</v>
      </c>
      <c r="D13" s="20"/>
      <c r="E13" s="3">
        <f t="shared" si="0"/>
        <v>20608847807.549</v>
      </c>
      <c r="G13" s="31">
        <f t="shared" si="1"/>
        <v>-76.6087794427374</v>
      </c>
      <c r="H13" s="6">
        <f t="shared" si="2"/>
        <v>-1.33707543720991</v>
      </c>
      <c r="I13" s="32"/>
      <c r="J13" s="2">
        <f t="shared" si="3"/>
        <v>133.707543720991</v>
      </c>
      <c r="K13" s="2">
        <f t="shared" si="4"/>
        <v>3.78308241906827</v>
      </c>
      <c r="L13" s="33"/>
      <c r="M13" s="9">
        <f t="shared" si="5"/>
        <v>7.08345083559419e-11</v>
      </c>
      <c r="N13" s="2">
        <f t="shared" si="6"/>
        <v>4.50952889161245</v>
      </c>
      <c r="O13" s="24"/>
      <c r="P13" s="10">
        <v>1.466725015</v>
      </c>
      <c r="Q13" s="10">
        <v>9.8739246</v>
      </c>
      <c r="R13" s="13">
        <f t="shared" si="9"/>
        <v>6.4933383139065e-12</v>
      </c>
      <c r="S13" s="13">
        <f t="shared" si="7"/>
        <v>1.91462289993371e-10</v>
      </c>
      <c r="U13" s="13">
        <v>5.58037425e-11</v>
      </c>
      <c r="V13" s="13">
        <v>6.49332938e-12</v>
      </c>
      <c r="W13" s="14">
        <f t="shared" si="8"/>
        <v>3.23891878121627</v>
      </c>
    </row>
    <row r="14" customHeight="1" spans="1:23">
      <c r="A14" s="2">
        <v>3.32</v>
      </c>
      <c r="B14" s="4" t="s">
        <v>61</v>
      </c>
      <c r="C14" s="4" t="s">
        <v>62</v>
      </c>
      <c r="D14" s="20"/>
      <c r="E14" s="3">
        <f t="shared" si="0"/>
        <v>20860175219.8362</v>
      </c>
      <c r="G14" s="31">
        <f t="shared" si="1"/>
        <v>-77.6225958263019</v>
      </c>
      <c r="H14" s="6">
        <f t="shared" si="2"/>
        <v>-1.35476987111378</v>
      </c>
      <c r="I14" s="32"/>
      <c r="J14" s="2">
        <f t="shared" si="3"/>
        <v>135.476987111378</v>
      </c>
      <c r="K14" s="2">
        <f t="shared" si="4"/>
        <v>3.79084966005924</v>
      </c>
      <c r="L14" s="33"/>
      <c r="M14" s="9">
        <f t="shared" si="5"/>
        <v>7.04039155253146e-11</v>
      </c>
      <c r="N14" s="2">
        <f t="shared" si="6"/>
        <v>4.45486996951787</v>
      </c>
      <c r="O14" s="24"/>
      <c r="P14" s="10">
        <v>1.467030715</v>
      </c>
      <c r="Q14" s="10">
        <v>10.8739246</v>
      </c>
      <c r="R14" s="13">
        <f t="shared" si="9"/>
        <v>6.4946916783765e-12</v>
      </c>
      <c r="S14" s="13">
        <f t="shared" si="7"/>
        <v>2.10852987993371e-10</v>
      </c>
      <c r="U14" s="13">
        <v>5.582274398e-11</v>
      </c>
      <c r="V14" s="13">
        <v>6.494682743e-12</v>
      </c>
      <c r="W14" s="14">
        <f t="shared" si="8"/>
        <v>3.23901858637254</v>
      </c>
    </row>
    <row r="15" customHeight="1" spans="1:23">
      <c r="A15" s="2">
        <v>3.36</v>
      </c>
      <c r="B15" s="4" t="s">
        <v>63</v>
      </c>
      <c r="C15" s="4" t="s">
        <v>64</v>
      </c>
      <c r="D15" s="20"/>
      <c r="E15" s="3">
        <f t="shared" si="0"/>
        <v>21111502632.1234</v>
      </c>
      <c r="G15" s="31">
        <f t="shared" si="1"/>
        <v>-78.6293433890492</v>
      </c>
      <c r="H15" s="6">
        <f t="shared" si="2"/>
        <v>-1.37234093082015</v>
      </c>
      <c r="I15" s="32"/>
      <c r="J15" s="2">
        <f t="shared" si="3"/>
        <v>137.234093082015</v>
      </c>
      <c r="K15" s="2">
        <f t="shared" si="4"/>
        <v>3.79775677850128</v>
      </c>
      <c r="L15" s="33"/>
      <c r="M15" s="9">
        <f t="shared" si="5"/>
        <v>6.99130251907884e-11</v>
      </c>
      <c r="N15" s="2">
        <f t="shared" si="6"/>
        <v>4.3929635061217</v>
      </c>
      <c r="O15" s="24"/>
      <c r="P15" s="10">
        <v>1.467387868</v>
      </c>
      <c r="Q15" s="10">
        <v>11.8739246</v>
      </c>
      <c r="R15" s="13">
        <f t="shared" si="9"/>
        <v>6.4962728304228e-12</v>
      </c>
      <c r="S15" s="13">
        <f t="shared" si="7"/>
        <v>2.30243685993371e-10</v>
      </c>
      <c r="U15" s="13">
        <v>5.58436175e-11</v>
      </c>
      <c r="V15" s="13">
        <v>6.496263892e-12</v>
      </c>
      <c r="W15" s="14">
        <f t="shared" si="8"/>
        <v>3.23911716759164</v>
      </c>
    </row>
    <row r="16" customHeight="1" spans="1:23">
      <c r="A16" s="2">
        <v>3.4</v>
      </c>
      <c r="B16" s="4" t="s">
        <v>65</v>
      </c>
      <c r="C16" s="4" t="s">
        <v>66</v>
      </c>
      <c r="D16" s="20"/>
      <c r="E16" s="3">
        <f t="shared" si="0"/>
        <v>21362830044.4106</v>
      </c>
      <c r="G16" s="31">
        <f t="shared" si="1"/>
        <v>-79.6293840467866</v>
      </c>
      <c r="H16" s="6">
        <f t="shared" si="2"/>
        <v>-1.38979493295147</v>
      </c>
      <c r="I16" s="32"/>
      <c r="J16" s="2">
        <f t="shared" si="3"/>
        <v>138.979493295147</v>
      </c>
      <c r="K16" s="2">
        <f t="shared" si="4"/>
        <v>3.8038666433946</v>
      </c>
      <c r="L16" s="33"/>
      <c r="M16" s="9">
        <f t="shared" si="5"/>
        <v>6.94472678984294e-11</v>
      </c>
      <c r="N16" s="2">
        <f t="shared" si="6"/>
        <v>4.33462703957641</v>
      </c>
      <c r="O16" s="24"/>
      <c r="P16" s="10">
        <v>1.467794571</v>
      </c>
      <c r="Q16" s="10">
        <v>12.8739246</v>
      </c>
      <c r="R16" s="13">
        <f t="shared" si="9"/>
        <v>6.4980733452741e-12</v>
      </c>
      <c r="S16" s="13">
        <f t="shared" si="7"/>
        <v>2.49634383993371e-10</v>
      </c>
      <c r="U16" s="13">
        <v>5.586631493e-11</v>
      </c>
      <c r="V16" s="13">
        <v>6.498064404e-12</v>
      </c>
      <c r="W16" s="14">
        <f t="shared" si="8"/>
        <v>3.2392148445559</v>
      </c>
    </row>
    <row r="17" customHeight="1" spans="1:23">
      <c r="A17" s="2">
        <v>3.44</v>
      </c>
      <c r="B17" s="4" t="s">
        <v>67</v>
      </c>
      <c r="C17" s="4" t="s">
        <v>68</v>
      </c>
      <c r="D17" s="20"/>
      <c r="E17" s="3">
        <f t="shared" si="0"/>
        <v>21614157456.6978</v>
      </c>
      <c r="G17" s="31">
        <f t="shared" si="1"/>
        <v>-80.6235269062362</v>
      </c>
      <c r="H17" s="6">
        <f t="shared" si="2"/>
        <v>-1.40714599908406</v>
      </c>
      <c r="I17" s="32"/>
      <c r="J17" s="2">
        <f t="shared" si="3"/>
        <v>140.714599908406</v>
      </c>
      <c r="K17" s="2">
        <f t="shared" si="4"/>
        <v>3.8092818232651</v>
      </c>
      <c r="L17" s="33"/>
      <c r="M17" s="9">
        <f t="shared" si="5"/>
        <v>6.90376985728889e-11</v>
      </c>
      <c r="N17" s="2">
        <f t="shared" si="6"/>
        <v>4.28365036995188</v>
      </c>
      <c r="O17" s="24"/>
      <c r="P17" s="10">
        <v>1.468248421</v>
      </c>
      <c r="Q17" s="10">
        <v>13.8739246</v>
      </c>
      <c r="R17" s="13">
        <f t="shared" si="9"/>
        <v>6.5000825846091e-12</v>
      </c>
      <c r="S17" s="13">
        <f t="shared" si="7"/>
        <v>2.69025081993371e-10</v>
      </c>
      <c r="U17" s="13">
        <v>5.589078818e-11</v>
      </c>
      <c r="V17" s="13">
        <v>6.500073642e-12</v>
      </c>
      <c r="W17" s="14">
        <f t="shared" si="8"/>
        <v>3.23931219503054</v>
      </c>
    </row>
    <row r="18" customHeight="1" spans="1:23">
      <c r="A18" s="2">
        <v>3.48</v>
      </c>
      <c r="B18" s="4" t="s">
        <v>69</v>
      </c>
      <c r="C18" s="4" t="s">
        <v>70</v>
      </c>
      <c r="D18" s="20"/>
      <c r="E18" s="3">
        <f t="shared" si="0"/>
        <v>21865484868.985</v>
      </c>
      <c r="G18" s="31">
        <f t="shared" si="1"/>
        <v>-81.6108946753349</v>
      </c>
      <c r="H18" s="6">
        <f t="shared" si="2"/>
        <v>-1.4243788175829</v>
      </c>
      <c r="I18" s="32"/>
      <c r="J18" s="2">
        <f t="shared" si="3"/>
        <v>142.43788175829</v>
      </c>
      <c r="K18" s="2">
        <f t="shared" si="4"/>
        <v>3.81394296584967</v>
      </c>
      <c r="L18" s="33"/>
      <c r="M18" s="9">
        <f t="shared" si="5"/>
        <v>6.85672061874095e-11</v>
      </c>
      <c r="N18" s="2">
        <f t="shared" si="6"/>
        <v>4.22546310833976</v>
      </c>
      <c r="O18" s="24"/>
      <c r="P18" s="10">
        <v>1.468762349</v>
      </c>
      <c r="Q18" s="10">
        <v>14.8739246</v>
      </c>
      <c r="R18" s="13">
        <f t="shared" si="9"/>
        <v>6.5023577952579e-12</v>
      </c>
      <c r="S18" s="13">
        <f t="shared" si="7"/>
        <v>2.88415779993371e-10</v>
      </c>
      <c r="U18" s="13">
        <v>5.591698865e-11</v>
      </c>
      <c r="V18" s="13">
        <v>6.502348847e-12</v>
      </c>
      <c r="W18" s="14">
        <f t="shared" si="8"/>
        <v>3.23940190076363</v>
      </c>
    </row>
    <row r="19" customHeight="1" spans="1:23">
      <c r="A19" s="2">
        <v>3.52</v>
      </c>
      <c r="B19" s="4" t="s">
        <v>71</v>
      </c>
      <c r="C19" s="4" t="s">
        <v>72</v>
      </c>
      <c r="D19" s="20"/>
      <c r="E19" s="3">
        <f t="shared" si="0"/>
        <v>22116812281.2721</v>
      </c>
      <c r="G19" s="31">
        <f t="shared" si="1"/>
        <v>-82.5918232124001</v>
      </c>
      <c r="H19" s="6">
        <f t="shared" si="2"/>
        <v>-1.44149925028146</v>
      </c>
      <c r="I19" s="32"/>
      <c r="J19" s="2">
        <f t="shared" si="3"/>
        <v>144.149925028146</v>
      </c>
      <c r="K19" s="2">
        <f t="shared" si="4"/>
        <v>3.81790558138441</v>
      </c>
      <c r="L19" s="33"/>
      <c r="M19" s="9">
        <f t="shared" si="5"/>
        <v>6.81200372961922e-11</v>
      </c>
      <c r="N19" s="2">
        <f t="shared" si="6"/>
        <v>4.17052913985653</v>
      </c>
      <c r="O19" s="24"/>
      <c r="P19" s="10">
        <v>1.469351131</v>
      </c>
      <c r="Q19" s="10">
        <v>15.8739246</v>
      </c>
      <c r="R19" s="13">
        <f t="shared" si="9"/>
        <v>6.5049643920501e-12</v>
      </c>
      <c r="S19" s="13">
        <f t="shared" si="7"/>
        <v>3.07806477993371e-10</v>
      </c>
      <c r="U19" s="13">
        <v>5.594486624e-11</v>
      </c>
      <c r="V19" s="13">
        <v>6.504955442e-12</v>
      </c>
      <c r="W19" s="14">
        <f t="shared" si="8"/>
        <v>3.2394756854952</v>
      </c>
    </row>
    <row r="20" customHeight="1" spans="1:23">
      <c r="A20" s="2">
        <v>3.56</v>
      </c>
      <c r="B20" s="4" t="s">
        <v>73</v>
      </c>
      <c r="C20" s="4" t="s">
        <v>74</v>
      </c>
      <c r="D20" s="20"/>
      <c r="E20" s="3">
        <f t="shared" si="0"/>
        <v>22368139693.5593</v>
      </c>
      <c r="G20" s="31">
        <f t="shared" si="1"/>
        <v>-83.566492631468</v>
      </c>
      <c r="H20" s="6">
        <f t="shared" si="2"/>
        <v>-1.4585104407627</v>
      </c>
      <c r="I20" s="32"/>
      <c r="J20" s="2">
        <f t="shared" si="3"/>
        <v>145.85104407627</v>
      </c>
      <c r="K20" s="2">
        <f t="shared" si="4"/>
        <v>3.82120870064326</v>
      </c>
      <c r="L20" s="33"/>
      <c r="M20" s="9">
        <f t="shared" si="5"/>
        <v>6.76853763241596e-11</v>
      </c>
      <c r="N20" s="2">
        <f t="shared" si="6"/>
        <v>4.11747623901825</v>
      </c>
      <c r="O20" s="24"/>
      <c r="P20" s="10">
        <v>1.469976325</v>
      </c>
      <c r="Q20" s="10">
        <v>16.8739246</v>
      </c>
      <c r="R20" s="13">
        <f t="shared" si="9"/>
        <v>6.5077321884075e-12</v>
      </c>
      <c r="S20" s="13">
        <f t="shared" si="7"/>
        <v>3.27197175993371e-10</v>
      </c>
      <c r="U20" s="13">
        <v>5.597437285e-11</v>
      </c>
      <c r="V20" s="13">
        <v>6.507723235e-12</v>
      </c>
      <c r="W20" s="14">
        <f t="shared" si="8"/>
        <v>3.23955267567307</v>
      </c>
    </row>
    <row r="21" customHeight="1" spans="1:23">
      <c r="A21" s="2">
        <v>3.6</v>
      </c>
      <c r="B21" s="4" t="s">
        <v>75</v>
      </c>
      <c r="C21" s="4" t="s">
        <v>76</v>
      </c>
      <c r="D21" s="20"/>
      <c r="E21" s="3">
        <f t="shared" si="0"/>
        <v>22619467105.8465</v>
      </c>
      <c r="G21" s="31">
        <f t="shared" si="1"/>
        <v>-84.5347823560284</v>
      </c>
      <c r="H21" s="6">
        <f t="shared" si="2"/>
        <v>-1.47541028456951</v>
      </c>
      <c r="I21" s="32"/>
      <c r="J21" s="2">
        <f t="shared" si="3"/>
        <v>147.541028456951</v>
      </c>
      <c r="K21" s="2">
        <f t="shared" si="4"/>
        <v>3.82386261581313</v>
      </c>
      <c r="L21" s="33"/>
      <c r="M21" s="9">
        <f t="shared" si="5"/>
        <v>6.7242341983364e-11</v>
      </c>
      <c r="N21" s="2">
        <f t="shared" si="6"/>
        <v>4.06375079999977</v>
      </c>
      <c r="O21" s="24"/>
      <c r="P21" s="10">
        <v>1.47064497</v>
      </c>
      <c r="Q21" s="10">
        <v>17.8739246</v>
      </c>
      <c r="R21" s="13">
        <f t="shared" si="9"/>
        <v>6.510692346687e-12</v>
      </c>
      <c r="S21" s="13">
        <f t="shared" si="7"/>
        <v>3.46587873993371e-10</v>
      </c>
      <c r="U21" s="13">
        <v>5.600545378e-11</v>
      </c>
      <c r="V21" s="13">
        <v>6.51068339e-12</v>
      </c>
      <c r="W21" s="14">
        <f t="shared" si="8"/>
        <v>3.23962850530042</v>
      </c>
    </row>
    <row r="22" customHeight="1" spans="1:23">
      <c r="A22" s="2">
        <v>3.64</v>
      </c>
      <c r="B22" s="4" t="s">
        <v>77</v>
      </c>
      <c r="C22" s="4" t="s">
        <v>78</v>
      </c>
      <c r="D22" s="20"/>
      <c r="E22" s="3">
        <f t="shared" si="0"/>
        <v>22870794518.1337</v>
      </c>
      <c r="G22" s="31">
        <f t="shared" si="1"/>
        <v>-85.4970990209911</v>
      </c>
      <c r="H22" s="6">
        <f t="shared" si="2"/>
        <v>-1.49220587881991</v>
      </c>
      <c r="I22" s="32"/>
      <c r="J22" s="2">
        <f t="shared" si="3"/>
        <v>149.220587881991</v>
      </c>
      <c r="K22" s="2">
        <f t="shared" si="4"/>
        <v>3.8259244966784</v>
      </c>
      <c r="L22" s="33"/>
      <c r="M22" s="9">
        <f t="shared" si="5"/>
        <v>6.68275461779606e-11</v>
      </c>
      <c r="N22" s="2">
        <f t="shared" si="6"/>
        <v>4.01376956201964</v>
      </c>
      <c r="O22" s="24"/>
      <c r="P22" s="10">
        <v>1.471299065</v>
      </c>
      <c r="Q22" s="10">
        <v>18.8739246</v>
      </c>
      <c r="R22" s="13">
        <f t="shared" si="9"/>
        <v>6.5135880906615e-12</v>
      </c>
      <c r="S22" s="13">
        <f t="shared" si="7"/>
        <v>3.65978571993371e-10</v>
      </c>
      <c r="U22" s="13">
        <v>5.603806903e-11</v>
      </c>
      <c r="V22" s="13">
        <v>6.513579129e-12</v>
      </c>
      <c r="W22" s="14">
        <f t="shared" si="8"/>
        <v>3.23973241677903</v>
      </c>
    </row>
    <row r="23" customHeight="1" spans="1:23">
      <c r="A23" s="2">
        <v>3.68</v>
      </c>
      <c r="B23" s="4" t="s">
        <v>79</v>
      </c>
      <c r="C23" s="4" t="s">
        <v>80</v>
      </c>
      <c r="D23" s="20"/>
      <c r="E23" s="3">
        <f t="shared" si="0"/>
        <v>23122121930.4209</v>
      </c>
      <c r="G23" s="31">
        <f t="shared" si="1"/>
        <v>-86.4533448491125</v>
      </c>
      <c r="H23" s="6">
        <f t="shared" si="2"/>
        <v>-1.50889551697909</v>
      </c>
      <c r="I23" s="32"/>
      <c r="J23" s="2">
        <f t="shared" si="3"/>
        <v>150.889551697909</v>
      </c>
      <c r="K23" s="2">
        <f t="shared" si="4"/>
        <v>3.82740454489039</v>
      </c>
      <c r="L23" s="33"/>
      <c r="M23" s="9">
        <f t="shared" si="5"/>
        <v>6.64059602862075e-11</v>
      </c>
      <c r="N23" s="2">
        <f t="shared" si="6"/>
        <v>3.96328705287088</v>
      </c>
      <c r="O23" s="24"/>
      <c r="P23" s="10">
        <v>1.472029525</v>
      </c>
      <c r="Q23" s="10">
        <v>19.8739246</v>
      </c>
      <c r="R23" s="13">
        <f t="shared" si="9"/>
        <v>6.5168219101275e-12</v>
      </c>
      <c r="S23" s="13">
        <f t="shared" si="7"/>
        <v>3.85369269993371e-10</v>
      </c>
      <c r="U23" s="13">
        <v>5.6072175e-11</v>
      </c>
      <c r="V23" s="13">
        <v>6.516812944e-12</v>
      </c>
      <c r="W23" s="14">
        <f t="shared" si="8"/>
        <v>3.23981710681336</v>
      </c>
    </row>
    <row r="24" customHeight="1" spans="1:23">
      <c r="A24" s="2">
        <v>3.72</v>
      </c>
      <c r="B24" s="4" t="s">
        <v>81</v>
      </c>
      <c r="C24" s="4" t="s">
        <v>82</v>
      </c>
      <c r="D24" s="20"/>
      <c r="E24" s="3">
        <f t="shared" si="0"/>
        <v>23373449342.7081</v>
      </c>
      <c r="G24" s="31">
        <f t="shared" si="1"/>
        <v>-87.4037434849957</v>
      </c>
      <c r="H24" s="6">
        <f t="shared" si="2"/>
        <v>-1.52548310238172</v>
      </c>
      <c r="I24" s="32"/>
      <c r="J24" s="2">
        <f t="shared" si="3"/>
        <v>152.548310238172</v>
      </c>
      <c r="K24" s="2">
        <f t="shared" si="4"/>
        <v>3.82834080238446</v>
      </c>
      <c r="L24" s="33"/>
      <c r="M24" s="9">
        <f t="shared" si="5"/>
        <v>6.5999905269672e-11</v>
      </c>
      <c r="N24" s="2">
        <f t="shared" si="6"/>
        <v>3.91496632018843</v>
      </c>
      <c r="O24" s="24"/>
      <c r="P24" s="10">
        <v>1.472800054</v>
      </c>
      <c r="Q24" s="10">
        <v>20.8739246</v>
      </c>
      <c r="R24" s="13">
        <f t="shared" si="9"/>
        <v>6.5202331190634e-12</v>
      </c>
      <c r="S24" s="13">
        <f t="shared" si="7"/>
        <v>4.04759967993371e-10</v>
      </c>
      <c r="U24" s="13">
        <v>5.610776913e-11</v>
      </c>
      <c r="V24" s="13">
        <v>6.520224149e-12</v>
      </c>
      <c r="W24" s="14">
        <f t="shared" si="8"/>
        <v>3.23990118432672</v>
      </c>
    </row>
    <row r="25" customHeight="1" spans="1:23">
      <c r="A25" s="2">
        <v>3.76</v>
      </c>
      <c r="B25" s="4" t="s">
        <v>83</v>
      </c>
      <c r="C25" s="4" t="s">
        <v>84</v>
      </c>
      <c r="D25" s="20"/>
      <c r="E25" s="3">
        <f t="shared" si="0"/>
        <v>23624776754.9952</v>
      </c>
      <c r="G25" s="31">
        <f t="shared" si="1"/>
        <v>-88.3482848085305</v>
      </c>
      <c r="H25" s="6">
        <f t="shared" si="2"/>
        <v>-1.54196845839854</v>
      </c>
      <c r="I25" s="32"/>
      <c r="J25" s="2">
        <f t="shared" si="3"/>
        <v>154.196845839854</v>
      </c>
      <c r="K25" s="2">
        <f t="shared" si="4"/>
        <v>3.82874955686612</v>
      </c>
      <c r="L25" s="33"/>
      <c r="M25" s="9">
        <f t="shared" si="5"/>
        <v>6.55931474676911e-11</v>
      </c>
      <c r="N25" s="2">
        <f t="shared" si="6"/>
        <v>3.86685910031621</v>
      </c>
      <c r="O25" s="24"/>
      <c r="P25" s="10">
        <v>1.473618716</v>
      </c>
      <c r="Q25" s="10">
        <v>21.8739246</v>
      </c>
      <c r="R25" s="13">
        <f t="shared" si="9"/>
        <v>6.5238574176036e-12</v>
      </c>
      <c r="S25" s="13">
        <f t="shared" si="7"/>
        <v>4.24150665993371e-10</v>
      </c>
      <c r="U25" s="13">
        <v>5.614464307e-11</v>
      </c>
      <c r="V25" s="13">
        <v>6.523848443e-12</v>
      </c>
      <c r="W25" s="14">
        <f t="shared" si="8"/>
        <v>3.2399777058045</v>
      </c>
    </row>
    <row r="26" customHeight="1" spans="1:23">
      <c r="A26" s="2">
        <v>3.8</v>
      </c>
      <c r="B26" s="4" t="s">
        <v>85</v>
      </c>
      <c r="C26" s="4" t="s">
        <v>86</v>
      </c>
      <c r="D26" s="20"/>
      <c r="E26" s="3">
        <f t="shared" si="0"/>
        <v>23876104167.2824</v>
      </c>
      <c r="G26" s="31">
        <f t="shared" si="1"/>
        <v>-89.2871344327966</v>
      </c>
      <c r="H26" s="6">
        <f t="shared" si="2"/>
        <v>-1.5583544755231</v>
      </c>
      <c r="I26" s="32"/>
      <c r="J26" s="2">
        <f t="shared" si="3"/>
        <v>155.83544755231</v>
      </c>
      <c r="K26" s="2">
        <f t="shared" si="4"/>
        <v>3.8286615877083</v>
      </c>
      <c r="L26" s="33"/>
      <c r="M26" s="9">
        <f t="shared" si="5"/>
        <v>6.51978905740369e-11</v>
      </c>
      <c r="N26" s="2">
        <f t="shared" si="6"/>
        <v>3.82039699919742</v>
      </c>
      <c r="O26" s="24"/>
      <c r="P26" s="10">
        <v>1.474458197</v>
      </c>
      <c r="Q26" s="10">
        <v>22.8739246</v>
      </c>
      <c r="R26" s="13">
        <f t="shared" si="9"/>
        <v>6.5275738839387e-12</v>
      </c>
      <c r="S26" s="13">
        <f t="shared" si="7"/>
        <v>4.43541363993371e-10</v>
      </c>
      <c r="U26" s="13">
        <v>5.618285991e-11</v>
      </c>
      <c r="V26" s="13">
        <v>6.527564903e-12</v>
      </c>
      <c r="W26" s="14">
        <f t="shared" si="8"/>
        <v>3.24006152294398</v>
      </c>
    </row>
    <row r="27" customHeight="1" spans="1:23">
      <c r="A27" s="2">
        <v>3.84</v>
      </c>
      <c r="B27" s="4" t="s">
        <v>87</v>
      </c>
      <c r="C27" s="4" t="s">
        <v>88</v>
      </c>
      <c r="D27" s="20"/>
      <c r="E27" s="3">
        <f t="shared" si="0"/>
        <v>24127431579.5696</v>
      </c>
      <c r="G27" s="31">
        <f t="shared" si="1"/>
        <v>-90.2204269217086</v>
      </c>
      <c r="H27" s="6">
        <f t="shared" si="2"/>
        <v>-1.57464350233875</v>
      </c>
      <c r="I27" s="32"/>
      <c r="J27" s="2">
        <f t="shared" si="3"/>
        <v>157.464350233875</v>
      </c>
      <c r="K27" s="2">
        <f t="shared" si="4"/>
        <v>3.82810385289092</v>
      </c>
      <c r="L27" s="33"/>
      <c r="M27" s="9">
        <f t="shared" si="5"/>
        <v>6.48119783966678e-11</v>
      </c>
      <c r="N27" s="2">
        <f t="shared" si="6"/>
        <v>3.77530430240477</v>
      </c>
      <c r="O27" s="24"/>
      <c r="P27" s="10">
        <v>1.475327421</v>
      </c>
      <c r="Q27" s="10">
        <v>23.8739246</v>
      </c>
      <c r="R27" s="13">
        <f t="shared" si="9"/>
        <v>6.5314220255091e-12</v>
      </c>
      <c r="S27" s="13">
        <f t="shared" si="7"/>
        <v>4.62932061993371e-10</v>
      </c>
      <c r="U27" s="13">
        <v>5.62224066e-11</v>
      </c>
      <c r="V27" s="13">
        <v>6.531413038e-12</v>
      </c>
      <c r="W27" s="14">
        <f t="shared" si="8"/>
        <v>3.24014787134515</v>
      </c>
    </row>
    <row r="28" customHeight="1" spans="1:23">
      <c r="A28" s="2">
        <v>3.88</v>
      </c>
      <c r="B28" s="4" t="s">
        <v>89</v>
      </c>
      <c r="C28" s="4" t="s">
        <v>90</v>
      </c>
      <c r="D28" s="20"/>
      <c r="E28" s="3">
        <f t="shared" si="0"/>
        <v>24378758991.8568</v>
      </c>
      <c r="G28" s="31">
        <f t="shared" si="1"/>
        <v>-91.14827701946</v>
      </c>
      <c r="H28" s="6">
        <f t="shared" si="2"/>
        <v>-1.59083754150946</v>
      </c>
      <c r="I28" s="32"/>
      <c r="J28" s="2">
        <f t="shared" si="3"/>
        <v>159.083754150946</v>
      </c>
      <c r="K28" s="2">
        <f t="shared" si="4"/>
        <v>3.82710061722403</v>
      </c>
      <c r="L28" s="33"/>
      <c r="M28" s="9">
        <f t="shared" si="5"/>
        <v>6.44340345660697e-11</v>
      </c>
      <c r="N28" s="2">
        <f t="shared" si="6"/>
        <v>3.73140214919595</v>
      </c>
      <c r="O28" s="24"/>
      <c r="P28" s="10">
        <v>1.476241356</v>
      </c>
      <c r="Q28" s="10">
        <v>24.8739246</v>
      </c>
      <c r="R28" s="13">
        <f t="shared" si="9"/>
        <v>6.5354681071476e-12</v>
      </c>
      <c r="S28" s="13">
        <f t="shared" si="7"/>
        <v>4.82322759993371e-10</v>
      </c>
      <c r="U28" s="13">
        <v>5.626309458e-11</v>
      </c>
      <c r="V28" s="13">
        <v>6.535459114e-12</v>
      </c>
      <c r="W28" s="14">
        <f t="shared" si="8"/>
        <v>3.24022654874727</v>
      </c>
    </row>
    <row r="29" customHeight="1" spans="1:23">
      <c r="A29" s="2">
        <v>3.92</v>
      </c>
      <c r="B29" s="4" t="s">
        <v>91</v>
      </c>
      <c r="C29" s="4" t="s">
        <v>92</v>
      </c>
      <c r="D29" s="20"/>
      <c r="E29" s="3">
        <f t="shared" si="0"/>
        <v>24630086404.144</v>
      </c>
      <c r="G29" s="31">
        <f t="shared" si="1"/>
        <v>-92.0708566450578</v>
      </c>
      <c r="H29" s="6">
        <f t="shared" si="2"/>
        <v>-1.60693959358796</v>
      </c>
      <c r="I29" s="32"/>
      <c r="J29" s="2">
        <f t="shared" si="3"/>
        <v>160.693959358796</v>
      </c>
      <c r="K29" s="2">
        <f t="shared" si="4"/>
        <v>3.82567997890457</v>
      </c>
      <c r="L29" s="33"/>
      <c r="M29" s="9">
        <f t="shared" si="5"/>
        <v>6.40680295553999e-11</v>
      </c>
      <c r="N29" s="2">
        <f t="shared" si="6"/>
        <v>3.68913153671184</v>
      </c>
      <c r="O29" s="24"/>
      <c r="P29" s="10">
        <v>1.477207982</v>
      </c>
      <c r="Q29" s="10">
        <v>25.8739246</v>
      </c>
      <c r="R29" s="13">
        <f t="shared" si="9"/>
        <v>6.5397474571122e-12</v>
      </c>
      <c r="S29" s="13">
        <f t="shared" si="7"/>
        <v>5.01713457993371e-10</v>
      </c>
      <c r="U29" s="13">
        <v>5.63049451e-11</v>
      </c>
      <c r="V29" s="13">
        <v>6.539738459e-12</v>
      </c>
      <c r="W29" s="14">
        <f t="shared" si="8"/>
        <v>3.24029376973468</v>
      </c>
    </row>
    <row r="30" customHeight="1" spans="1:23">
      <c r="A30" s="2">
        <v>3.96</v>
      </c>
      <c r="B30" s="4" t="s">
        <v>93</v>
      </c>
      <c r="C30" s="4" t="s">
        <v>94</v>
      </c>
      <c r="D30" s="20"/>
      <c r="E30" s="3">
        <f t="shared" si="0"/>
        <v>24881413816.4312</v>
      </c>
      <c r="G30" s="31">
        <f t="shared" si="1"/>
        <v>-92.9883043925778</v>
      </c>
      <c r="H30" s="6">
        <f t="shared" si="2"/>
        <v>-1.62295207749719</v>
      </c>
      <c r="I30" s="32"/>
      <c r="J30" s="2">
        <f t="shared" si="3"/>
        <v>162.295207749719</v>
      </c>
      <c r="K30" s="2">
        <f t="shared" si="4"/>
        <v>3.82386621817843</v>
      </c>
      <c r="L30" s="33"/>
      <c r="M30" s="9">
        <f t="shared" si="5"/>
        <v>6.37116491333376e-11</v>
      </c>
      <c r="N30" s="2">
        <f t="shared" si="6"/>
        <v>3.64820386536151</v>
      </c>
      <c r="O30" s="24"/>
      <c r="P30" s="10">
        <v>1.478266393</v>
      </c>
      <c r="Q30" s="10">
        <v>26.8739246</v>
      </c>
      <c r="R30" s="13">
        <f t="shared" si="9"/>
        <v>6.5444331484503e-12</v>
      </c>
      <c r="S30" s="13">
        <f t="shared" si="7"/>
        <v>5.21104155993371e-10</v>
      </c>
      <c r="U30" s="13">
        <v>5.634797383e-11</v>
      </c>
      <c r="V30" s="13">
        <v>6.544424142e-12</v>
      </c>
      <c r="W30" s="14">
        <f t="shared" si="8"/>
        <v>3.24032978688077</v>
      </c>
    </row>
    <row r="31" customHeight="1" spans="1:23">
      <c r="A31" s="2">
        <v>4</v>
      </c>
      <c r="B31" s="4" t="s">
        <v>95</v>
      </c>
      <c r="C31" s="4" t="s">
        <v>96</v>
      </c>
      <c r="D31" s="20"/>
      <c r="E31" s="3">
        <f t="shared" si="0"/>
        <v>25132741228.7183</v>
      </c>
      <c r="G31" s="31">
        <f t="shared" si="1"/>
        <v>-93.9007436228719</v>
      </c>
      <c r="H31" s="6">
        <f t="shared" si="2"/>
        <v>-1.63887714629018</v>
      </c>
      <c r="I31" s="32"/>
      <c r="J31" s="2">
        <f t="shared" si="3"/>
        <v>163.887714629018</v>
      </c>
      <c r="K31" s="2">
        <f t="shared" si="4"/>
        <v>3.82168145413899</v>
      </c>
      <c r="L31" s="33"/>
      <c r="M31" s="9">
        <f t="shared" si="5"/>
        <v>6.33638354370853e-11</v>
      </c>
      <c r="N31" s="2">
        <f t="shared" si="6"/>
        <v>3.60848015011877</v>
      </c>
      <c r="O31" s="24"/>
      <c r="P31" s="10">
        <v>1.479356237</v>
      </c>
      <c r="Q31" s="10">
        <v>27.8739246</v>
      </c>
      <c r="R31" s="13">
        <f t="shared" si="9"/>
        <v>6.5492579968227e-12</v>
      </c>
      <c r="S31" s="13">
        <f t="shared" si="7"/>
        <v>5.40494853993371e-10</v>
      </c>
      <c r="U31" s="13">
        <v>5.639193596e-11</v>
      </c>
      <c r="V31" s="13">
        <v>6.549248983e-12</v>
      </c>
      <c r="W31" s="14">
        <f t="shared" si="8"/>
        <v>3.24036220292469</v>
      </c>
    </row>
    <row r="32" customHeight="1" spans="1:23">
      <c r="A32" s="2">
        <v>4.04</v>
      </c>
      <c r="B32" s="4" t="s">
        <v>97</v>
      </c>
      <c r="C32" s="4" t="s">
        <v>98</v>
      </c>
      <c r="D32" s="20"/>
      <c r="E32" s="3">
        <f t="shared" si="0"/>
        <v>25384068641.0055</v>
      </c>
      <c r="G32" s="31">
        <f t="shared" si="1"/>
        <v>-94.8083195517857</v>
      </c>
      <c r="H32" s="6">
        <f t="shared" si="2"/>
        <v>-1.65471733446157</v>
      </c>
      <c r="I32" s="32"/>
      <c r="J32" s="2">
        <f t="shared" si="3"/>
        <v>165.471733446157</v>
      </c>
      <c r="K32" s="2">
        <f t="shared" si="4"/>
        <v>3.81914873337299</v>
      </c>
      <c r="L32" s="33"/>
      <c r="M32" s="9">
        <f t="shared" si="5"/>
        <v>6.30261061745701e-11</v>
      </c>
      <c r="N32" s="2">
        <f t="shared" si="6"/>
        <v>3.57011626244574</v>
      </c>
      <c r="O32" s="24"/>
      <c r="P32" s="10">
        <v>1.480305047</v>
      </c>
      <c r="Q32" s="10">
        <v>28.8739246</v>
      </c>
      <c r="R32" s="13">
        <f t="shared" si="9"/>
        <v>6.5534584735737e-12</v>
      </c>
      <c r="S32" s="13">
        <f t="shared" si="7"/>
        <v>5.59885551993371e-10</v>
      </c>
      <c r="U32" s="13">
        <v>5.64366937e-11</v>
      </c>
      <c r="V32" s="13">
        <v>6.553449457e-12</v>
      </c>
      <c r="W32" s="14">
        <f t="shared" si="8"/>
        <v>3.24047718020472</v>
      </c>
    </row>
    <row r="33" customHeight="1" spans="1:23">
      <c r="A33" s="2">
        <v>4.08</v>
      </c>
      <c r="B33" s="4" t="s">
        <v>99</v>
      </c>
      <c r="C33" s="4" t="s">
        <v>100</v>
      </c>
      <c r="D33" s="20"/>
      <c r="E33" s="3">
        <f t="shared" si="0"/>
        <v>25635396053.2927</v>
      </c>
      <c r="G33" s="31">
        <f t="shared" si="1"/>
        <v>-95.7112783668727</v>
      </c>
      <c r="H33" s="6">
        <f t="shared" si="2"/>
        <v>-1.67047693879475</v>
      </c>
      <c r="I33" s="32"/>
      <c r="J33" s="2">
        <f t="shared" si="3"/>
        <v>167.047693879475</v>
      </c>
      <c r="K33" s="2">
        <f t="shared" si="4"/>
        <v>3.8162982833143</v>
      </c>
      <c r="L33" s="33"/>
      <c r="M33" s="9">
        <f t="shared" si="5"/>
        <v>6.27054732699305e-11</v>
      </c>
      <c r="N33" s="2">
        <f t="shared" si="6"/>
        <v>3.53388413240369</v>
      </c>
      <c r="O33" s="24"/>
      <c r="P33" s="10">
        <v>1.481274734</v>
      </c>
      <c r="Q33" s="10">
        <v>29.8739246</v>
      </c>
      <c r="R33" s="13">
        <f t="shared" si="9"/>
        <v>6.5577513748914e-12</v>
      </c>
      <c r="S33" s="13">
        <f t="shared" si="7"/>
        <v>5.79276249993371e-10</v>
      </c>
      <c r="U33" s="13">
        <v>5.648236514e-11</v>
      </c>
      <c r="V33" s="13">
        <v>6.557742351e-12</v>
      </c>
      <c r="W33" s="14">
        <f t="shared" si="8"/>
        <v>3.24059356072141</v>
      </c>
    </row>
    <row r="34" customHeight="1" spans="1:23">
      <c r="A34" s="2">
        <v>4.12</v>
      </c>
      <c r="B34" s="4" t="s">
        <v>101</v>
      </c>
      <c r="C34" s="4" t="s">
        <v>102</v>
      </c>
      <c r="D34" s="20"/>
      <c r="E34" s="3">
        <f t="shared" si="0"/>
        <v>25886723465.5799</v>
      </c>
      <c r="G34" s="31">
        <f t="shared" si="1"/>
        <v>-96.6095695976715</v>
      </c>
      <c r="H34" s="6">
        <f t="shared" si="2"/>
        <v>-1.68615507841398</v>
      </c>
      <c r="I34" s="32"/>
      <c r="J34" s="2">
        <f t="shared" si="3"/>
        <v>168.615507841398</v>
      </c>
      <c r="K34" s="2">
        <f t="shared" si="4"/>
        <v>3.81313575137494</v>
      </c>
      <c r="L34" s="33"/>
      <c r="M34" s="9">
        <f t="shared" si="5"/>
        <v>6.2381335472142e-11</v>
      </c>
      <c r="N34" s="2">
        <f t="shared" si="6"/>
        <v>3.49744377768709</v>
      </c>
      <c r="O34" s="24"/>
      <c r="P34" s="10">
        <v>1.482305251</v>
      </c>
      <c r="Q34" s="10">
        <v>30.8739246</v>
      </c>
      <c r="R34" s="13">
        <f t="shared" si="9"/>
        <v>6.5623135767021e-12</v>
      </c>
      <c r="S34" s="13">
        <f t="shared" si="7"/>
        <v>5.98666947993371e-10</v>
      </c>
      <c r="U34" s="13">
        <v>5.652900488e-11</v>
      </c>
      <c r="V34" s="13">
        <v>6.562304547e-12</v>
      </c>
      <c r="W34" s="14">
        <f t="shared" si="8"/>
        <v>3.24069170726237</v>
      </c>
    </row>
    <row r="35" customHeight="1" spans="1:23">
      <c r="A35" s="2">
        <v>4.16</v>
      </c>
      <c r="B35" s="4" t="s">
        <v>103</v>
      </c>
      <c r="C35" s="4" t="s">
        <v>104</v>
      </c>
      <c r="D35" s="20"/>
      <c r="E35" s="3">
        <f t="shared" si="0"/>
        <v>26138050877.8671</v>
      </c>
      <c r="G35" s="31">
        <f t="shared" si="1"/>
        <v>-97.5039115341471</v>
      </c>
      <c r="H35" s="6">
        <f t="shared" si="2"/>
        <v>-1.70176428984414</v>
      </c>
      <c r="I35" s="32"/>
      <c r="J35" s="2">
        <f t="shared" si="3"/>
        <v>170.176428984414</v>
      </c>
      <c r="K35" s="2">
        <f t="shared" si="4"/>
        <v>3.80972668644045</v>
      </c>
      <c r="L35" s="33"/>
      <c r="M35" s="9">
        <f t="shared" si="5"/>
        <v>6.2107078921916e-11</v>
      </c>
      <c r="N35" s="2">
        <f t="shared" si="6"/>
        <v>3.46675869131239</v>
      </c>
      <c r="O35" s="24"/>
      <c r="P35" s="10">
        <v>1.483409162</v>
      </c>
      <c r="Q35" s="10">
        <v>31.8739246</v>
      </c>
      <c r="R35" s="13">
        <f t="shared" si="9"/>
        <v>6.5672007010902e-12</v>
      </c>
      <c r="S35" s="13">
        <f t="shared" si="7"/>
        <v>6.18057645993371e-10</v>
      </c>
      <c r="U35" s="13">
        <v>5.657676554e-11</v>
      </c>
      <c r="V35" s="13">
        <v>6.567191662e-12</v>
      </c>
      <c r="W35" s="14">
        <f t="shared" si="8"/>
        <v>3.24076729627607</v>
      </c>
    </row>
    <row r="36" customHeight="1" spans="1:23">
      <c r="A36" s="2">
        <v>4.2</v>
      </c>
      <c r="B36" s="4" t="s">
        <v>105</v>
      </c>
      <c r="C36" s="4" t="s">
        <v>106</v>
      </c>
      <c r="D36" s="20"/>
      <c r="E36" s="3">
        <f t="shared" si="0"/>
        <v>26389378290.1543</v>
      </c>
      <c r="G36" s="31">
        <f t="shared" si="1"/>
        <v>-98.3936323267396</v>
      </c>
      <c r="H36" s="6">
        <f t="shared" si="2"/>
        <v>-1.71729284709834</v>
      </c>
      <c r="I36" s="32"/>
      <c r="J36" s="2">
        <f t="shared" si="3"/>
        <v>171.729284709834</v>
      </c>
      <c r="K36" s="2">
        <f t="shared" si="4"/>
        <v>3.80602652218845</v>
      </c>
      <c r="L36" s="33"/>
      <c r="M36" s="9">
        <f t="shared" si="5"/>
        <v>6.17861661522576e-11</v>
      </c>
      <c r="N36" s="2">
        <f t="shared" si="6"/>
        <v>3.43102515209006</v>
      </c>
      <c r="O36" s="24"/>
      <c r="P36" s="10">
        <v>1.484475579</v>
      </c>
      <c r="Q36" s="10">
        <v>32.8739246</v>
      </c>
      <c r="R36" s="13">
        <f t="shared" si="9"/>
        <v>6.5719218357909e-12</v>
      </c>
      <c r="S36" s="13">
        <f t="shared" si="7"/>
        <v>6.37448343993371e-10</v>
      </c>
      <c r="U36" s="13">
        <v>5.662389385e-11</v>
      </c>
      <c r="V36" s="13">
        <v>6.571912791e-12</v>
      </c>
      <c r="W36" s="14">
        <f t="shared" si="8"/>
        <v>3.24085340330976</v>
      </c>
    </row>
    <row r="37" customHeight="1" spans="1:23">
      <c r="A37" s="2">
        <v>4.24</v>
      </c>
      <c r="B37" s="4" t="s">
        <v>107</v>
      </c>
      <c r="C37" s="4" t="s">
        <v>108</v>
      </c>
      <c r="D37" s="20"/>
      <c r="E37" s="3">
        <f t="shared" si="0"/>
        <v>26640705702.4414</v>
      </c>
      <c r="G37" s="31">
        <f t="shared" si="1"/>
        <v>-99.2794536240958</v>
      </c>
      <c r="H37" s="6">
        <f t="shared" si="2"/>
        <v>-1.73275334532149</v>
      </c>
      <c r="I37" s="32"/>
      <c r="J37" s="2">
        <f t="shared" si="3"/>
        <v>173.275334532149</v>
      </c>
      <c r="K37" s="2">
        <f t="shared" si="4"/>
        <v>3.80209923621348</v>
      </c>
      <c r="L37" s="33"/>
      <c r="M37" s="9">
        <f t="shared" si="5"/>
        <v>6.15153678719534e-11</v>
      </c>
      <c r="N37" s="2">
        <f t="shared" si="6"/>
        <v>3.40101585744171</v>
      </c>
      <c r="O37" s="24"/>
      <c r="P37" s="10">
        <v>1.485743377</v>
      </c>
      <c r="Q37" s="10">
        <v>33.8739246</v>
      </c>
      <c r="R37" s="13">
        <f t="shared" si="9"/>
        <v>6.5775345043167e-12</v>
      </c>
      <c r="S37" s="13">
        <f t="shared" si="7"/>
        <v>6.56839041993371e-10</v>
      </c>
      <c r="U37" s="13">
        <v>5.667230118e-11</v>
      </c>
      <c r="V37" s="13">
        <v>6.577525454e-12</v>
      </c>
      <c r="W37" s="14">
        <f t="shared" si="8"/>
        <v>3.24085404796569</v>
      </c>
    </row>
    <row r="38" customHeight="1" spans="1:23">
      <c r="A38" s="2">
        <v>4.28</v>
      </c>
      <c r="B38" s="4" t="s">
        <v>109</v>
      </c>
      <c r="C38" s="4" t="s">
        <v>110</v>
      </c>
      <c r="D38" s="20"/>
      <c r="E38" s="3">
        <f t="shared" ref="E38:E69" si="10">(A38*1000000000)*2*PI()</f>
        <v>26892033114.7286</v>
      </c>
      <c r="G38" s="31">
        <f t="shared" ref="G38:G69" si="11">IF(ISNUMBER(G37),(G37-(DEGREES(ATAN2(IMAGINARY(B38),IMREAL(B38)))-DEGREES(ATAN2(IMAGINARY(B37),IMREAL(B37))))+360*ROUND((DEGREES(ATAN2(IMAGINARY(B38),IMREAL(B38)))-DEGREES(ATAN2(IMAGINARY(B37),IMREAL(B37))))/360,0)),90-(DEGREES(ATAN2(IMAGINARY(B38),IMREAL(B38)))))</f>
        <v>-100.161497267304</v>
      </c>
      <c r="H38" s="6">
        <f t="shared" ref="H38:H69" si="12">G38/180*PI()</f>
        <v>-1.74814791104176</v>
      </c>
      <c r="I38" s="32"/>
      <c r="J38" s="2">
        <f t="shared" ref="J38:J69" si="13">-H38/$B$2</f>
        <v>174.814791104176</v>
      </c>
      <c r="K38" s="2">
        <f t="shared" ref="K38:K69" si="14">($B$1/E38*J38)^2</f>
        <v>3.79796083783146</v>
      </c>
      <c r="L38" s="33"/>
      <c r="M38" s="9">
        <f t="shared" ref="M38:M69" si="15">-((H38-H37)/(E38-E37))</f>
        <v>6.1253030778359e-11</v>
      </c>
      <c r="N38" s="2">
        <f t="shared" ref="N38:N69" si="16">($B$1*M38/$B$2)^2</f>
        <v>3.37206991463432</v>
      </c>
      <c r="O38" s="24"/>
      <c r="P38" s="10">
        <v>1.488458453</v>
      </c>
      <c r="Q38" s="10">
        <v>34.8739246</v>
      </c>
      <c r="R38" s="13">
        <f t="shared" ref="R38:R69" si="17">(P38*$Q$2*$S$1/2)</f>
        <v>6.5895544172763e-12</v>
      </c>
      <c r="S38" s="13">
        <f t="shared" ref="S38:S69" si="18">(Q38*$Q$1*$S$1/2)</f>
        <v>6.76229739993371e-10</v>
      </c>
      <c r="U38" s="13">
        <v>5.672119624e-11</v>
      </c>
      <c r="V38" s="13">
        <v>6.589545351e-12</v>
      </c>
      <c r="W38" s="14">
        <f t="shared" ref="W38:W69" si="19">(U38+V38)/((U38/$Q$1)+(V38/$Q$2))</f>
        <v>3.24012638391618</v>
      </c>
    </row>
    <row r="39" customHeight="1" spans="1:23">
      <c r="A39" s="2">
        <v>4.32</v>
      </c>
      <c r="B39" s="4" t="s">
        <v>111</v>
      </c>
      <c r="C39" s="4" t="s">
        <v>112</v>
      </c>
      <c r="D39" s="20"/>
      <c r="E39" s="3">
        <f t="shared" si="10"/>
        <v>27143360527.0158</v>
      </c>
      <c r="G39" s="31">
        <f t="shared" si="11"/>
        <v>-101.040075148938</v>
      </c>
      <c r="H39" s="6">
        <f t="shared" si="12"/>
        <v>-1.76348198781146</v>
      </c>
      <c r="I39" s="32"/>
      <c r="J39" s="2">
        <f t="shared" si="13"/>
        <v>176.348198781146</v>
      </c>
      <c r="K39" s="2">
        <f t="shared" si="14"/>
        <v>3.79364101292574</v>
      </c>
      <c r="L39" s="33"/>
      <c r="M39" s="9">
        <f t="shared" si="15"/>
        <v>6.10123528912169e-11</v>
      </c>
      <c r="N39" s="2">
        <f t="shared" si="16"/>
        <v>3.34562262866861</v>
      </c>
      <c r="O39" s="24"/>
      <c r="P39" s="10">
        <v>1.488907952</v>
      </c>
      <c r="Q39" s="10">
        <v>35.8739246</v>
      </c>
      <c r="R39" s="13">
        <f t="shared" si="17"/>
        <v>6.5915443942992e-12</v>
      </c>
      <c r="S39" s="13">
        <f t="shared" si="18"/>
        <v>6.95620437993371e-10</v>
      </c>
      <c r="U39" s="13">
        <v>5.677034697e-11</v>
      </c>
      <c r="V39" s="13">
        <v>6.591535326e-12</v>
      </c>
      <c r="W39" s="14">
        <f t="shared" si="19"/>
        <v>3.24055258585505</v>
      </c>
    </row>
    <row r="40" customHeight="1" spans="1:23">
      <c r="A40" s="2">
        <v>4.36</v>
      </c>
      <c r="B40" s="4" t="s">
        <v>113</v>
      </c>
      <c r="C40" s="4" t="s">
        <v>114</v>
      </c>
      <c r="D40" s="20"/>
      <c r="E40" s="3">
        <f t="shared" si="10"/>
        <v>27394687939.303</v>
      </c>
      <c r="G40" s="31">
        <f t="shared" si="11"/>
        <v>-101.915301522177</v>
      </c>
      <c r="H40" s="6">
        <f t="shared" si="12"/>
        <v>-1.77875756972477</v>
      </c>
      <c r="I40" s="32"/>
      <c r="J40" s="2">
        <f t="shared" si="13"/>
        <v>177.875756972477</v>
      </c>
      <c r="K40" s="2">
        <f t="shared" si="14"/>
        <v>3.78915362322431</v>
      </c>
      <c r="L40" s="33"/>
      <c r="M40" s="9">
        <f t="shared" si="15"/>
        <v>6.07796092527198e-11</v>
      </c>
      <c r="N40" s="2">
        <f t="shared" si="16"/>
        <v>3.3201462407829</v>
      </c>
      <c r="O40" s="24"/>
      <c r="P40" s="10">
        <v>1.488980201</v>
      </c>
      <c r="Q40" s="10">
        <v>36.8739246</v>
      </c>
      <c r="R40" s="13">
        <f t="shared" si="17"/>
        <v>6.5918642478471e-12</v>
      </c>
      <c r="S40" s="13">
        <f t="shared" si="18"/>
        <v>7.15011135993371e-10</v>
      </c>
      <c r="U40" s="13">
        <v>5.681995133e-11</v>
      </c>
      <c r="V40" s="13">
        <v>6.591855177e-12</v>
      </c>
      <c r="W40" s="14">
        <f t="shared" si="19"/>
        <v>3.24117554355116</v>
      </c>
    </row>
    <row r="41" customHeight="1" spans="1:23">
      <c r="A41" s="2">
        <v>4.4</v>
      </c>
      <c r="B41" s="4" t="s">
        <v>115</v>
      </c>
      <c r="C41" s="4" t="s">
        <v>116</v>
      </c>
      <c r="D41" s="20"/>
      <c r="E41" s="3">
        <f t="shared" si="10"/>
        <v>27646015351.5902</v>
      </c>
      <c r="G41" s="31">
        <f t="shared" si="11"/>
        <v>-102.786828374613</v>
      </c>
      <c r="H41" s="6">
        <f t="shared" si="12"/>
        <v>-1.79396858281933</v>
      </c>
      <c r="I41" s="32"/>
      <c r="J41" s="2">
        <f t="shared" si="13"/>
        <v>179.396858281933</v>
      </c>
      <c r="K41" s="2">
        <f t="shared" si="14"/>
        <v>3.78447797797671</v>
      </c>
      <c r="L41" s="33"/>
      <c r="M41" s="9">
        <f t="shared" si="15"/>
        <v>6.05226980858483e-11</v>
      </c>
      <c r="N41" s="2">
        <f t="shared" si="16"/>
        <v>3.29213750869953</v>
      </c>
      <c r="O41" s="24"/>
      <c r="P41" s="10">
        <v>1.490033032</v>
      </c>
      <c r="Q41" s="10">
        <v>37.8739246</v>
      </c>
      <c r="R41" s="13">
        <f t="shared" si="17"/>
        <v>6.5965252359672e-12</v>
      </c>
      <c r="S41" s="13">
        <f t="shared" si="18"/>
        <v>7.34401833993371e-10</v>
      </c>
      <c r="U41" s="13">
        <v>5.686970263e-11</v>
      </c>
      <c r="V41" s="13">
        <v>6.596516158e-12</v>
      </c>
      <c r="W41" s="14">
        <f t="shared" si="19"/>
        <v>3.24130268756811</v>
      </c>
    </row>
    <row r="42" customHeight="1" spans="1:23">
      <c r="A42" s="2">
        <v>4.44</v>
      </c>
      <c r="B42" s="4" t="s">
        <v>117</v>
      </c>
      <c r="C42" s="4" t="s">
        <v>118</v>
      </c>
      <c r="D42" s="20"/>
      <c r="E42" s="3">
        <f t="shared" si="10"/>
        <v>27897342763.8774</v>
      </c>
      <c r="G42" s="31">
        <f t="shared" si="11"/>
        <v>-103.655991637375</v>
      </c>
      <c r="H42" s="6">
        <f t="shared" si="12"/>
        <v>-1.8091383434919</v>
      </c>
      <c r="I42" s="32"/>
      <c r="J42" s="2">
        <f t="shared" si="13"/>
        <v>180.91383434919</v>
      </c>
      <c r="K42" s="2">
        <f t="shared" si="14"/>
        <v>3.77971701353432</v>
      </c>
      <c r="L42" s="33"/>
      <c r="M42" s="9">
        <f t="shared" si="15"/>
        <v>6.03585599140046e-11</v>
      </c>
      <c r="N42" s="2">
        <f t="shared" si="16"/>
        <v>3.27430510165445</v>
      </c>
      <c r="O42" s="24"/>
      <c r="P42" s="10">
        <v>1.49118562</v>
      </c>
      <c r="Q42" s="10">
        <v>38.8739246</v>
      </c>
      <c r="R42" s="13">
        <f t="shared" si="17"/>
        <v>6.601627858302e-12</v>
      </c>
      <c r="S42" s="13">
        <f t="shared" si="18"/>
        <v>7.53792531993371e-10</v>
      </c>
      <c r="U42" s="13">
        <v>5.691924578e-11</v>
      </c>
      <c r="V42" s="13">
        <v>6.601618773e-12</v>
      </c>
      <c r="W42" s="14">
        <f t="shared" si="19"/>
        <v>3.24137634994386</v>
      </c>
    </row>
    <row r="43" customHeight="1" spans="1:23">
      <c r="A43" s="2">
        <v>4.48</v>
      </c>
      <c r="B43" s="4" t="s">
        <v>119</v>
      </c>
      <c r="C43" s="4" t="s">
        <v>120</v>
      </c>
      <c r="D43" s="20"/>
      <c r="E43" s="3">
        <f t="shared" si="10"/>
        <v>28148670176.1645</v>
      </c>
      <c r="G43" s="31">
        <f t="shared" si="11"/>
        <v>-104.521750406252</v>
      </c>
      <c r="H43" s="6">
        <f t="shared" si="12"/>
        <v>-1.82424868453682</v>
      </c>
      <c r="I43" s="32"/>
      <c r="J43" s="2">
        <f t="shared" si="13"/>
        <v>182.424868453682</v>
      </c>
      <c r="K43" s="2">
        <f t="shared" si="14"/>
        <v>3.77479807283918</v>
      </c>
      <c r="L43" s="33"/>
      <c r="M43" s="9">
        <f t="shared" si="15"/>
        <v>6.01221367275937e-11</v>
      </c>
      <c r="N43" s="2">
        <f t="shared" si="16"/>
        <v>3.24870457249793</v>
      </c>
      <c r="O43" s="24"/>
      <c r="P43" s="10">
        <v>1.493159974</v>
      </c>
      <c r="Q43" s="10">
        <v>39.8739246</v>
      </c>
      <c r="R43" s="13">
        <f t="shared" si="17"/>
        <v>6.6103685208954e-12</v>
      </c>
      <c r="S43" s="13">
        <f t="shared" si="18"/>
        <v>7.73183229993371e-10</v>
      </c>
      <c r="U43" s="13">
        <v>5.696890466e-11</v>
      </c>
      <c r="V43" s="13">
        <v>6.610359427e-12</v>
      </c>
      <c r="W43" s="14">
        <f t="shared" si="19"/>
        <v>3.24103573721862</v>
      </c>
    </row>
    <row r="44" customHeight="1" spans="1:23">
      <c r="A44" s="2">
        <v>4.52</v>
      </c>
      <c r="B44" s="4" t="s">
        <v>121</v>
      </c>
      <c r="C44" s="4" t="s">
        <v>122</v>
      </c>
      <c r="D44" s="20"/>
      <c r="E44" s="3">
        <f t="shared" si="10"/>
        <v>28399997588.4517</v>
      </c>
      <c r="G44" s="31">
        <f t="shared" si="11"/>
        <v>-105.385013971218</v>
      </c>
      <c r="H44" s="6">
        <f t="shared" si="12"/>
        <v>-1.83931547605797</v>
      </c>
      <c r="I44" s="32"/>
      <c r="J44" s="2">
        <f t="shared" si="13"/>
        <v>183.931547605797</v>
      </c>
      <c r="K44" s="2">
        <f t="shared" si="14"/>
        <v>3.76979079436506</v>
      </c>
      <c r="L44" s="33"/>
      <c r="M44" s="9">
        <f t="shared" si="15"/>
        <v>5.99488586781753e-11</v>
      </c>
      <c r="N44" s="2">
        <f t="shared" si="16"/>
        <v>3.23000537074762</v>
      </c>
      <c r="O44" s="24"/>
      <c r="P44" s="10">
        <v>1.49361219</v>
      </c>
      <c r="Q44" s="10">
        <v>40.8739246</v>
      </c>
      <c r="R44" s="13">
        <f t="shared" si="17"/>
        <v>6.612370526349e-12</v>
      </c>
      <c r="S44" s="13">
        <f t="shared" si="18"/>
        <v>7.92573927993371e-10</v>
      </c>
      <c r="U44" s="13">
        <v>5.701892096e-11</v>
      </c>
      <c r="V44" s="13">
        <v>6.612361428e-12</v>
      </c>
      <c r="W44" s="14">
        <f t="shared" si="19"/>
        <v>3.24146973584771</v>
      </c>
    </row>
    <row r="45" customHeight="1" spans="1:23">
      <c r="A45" s="2">
        <v>4.56</v>
      </c>
      <c r="B45" s="4" t="s">
        <v>123</v>
      </c>
      <c r="C45" s="4" t="s">
        <v>124</v>
      </c>
      <c r="D45" s="20"/>
      <c r="E45" s="3">
        <f t="shared" si="10"/>
        <v>28651325000.7389</v>
      </c>
      <c r="G45" s="31">
        <f t="shared" si="11"/>
        <v>-106.246238171746</v>
      </c>
      <c r="H45" s="6">
        <f t="shared" si="12"/>
        <v>-1.85434667395504</v>
      </c>
      <c r="I45" s="32"/>
      <c r="J45" s="2">
        <f t="shared" si="13"/>
        <v>185.434667395504</v>
      </c>
      <c r="K45" s="2">
        <f t="shared" si="14"/>
        <v>3.76473007212665</v>
      </c>
      <c r="L45" s="33"/>
      <c r="M45" s="9">
        <f t="shared" si="15"/>
        <v>5.98072361477611e-11</v>
      </c>
      <c r="N45" s="2">
        <f t="shared" si="16"/>
        <v>3.21476233805329</v>
      </c>
      <c r="O45" s="24"/>
      <c r="P45" s="10">
        <v>1.494488368</v>
      </c>
      <c r="Q45" s="10">
        <v>41.8739246</v>
      </c>
      <c r="R45" s="13">
        <f t="shared" si="17"/>
        <v>6.6162494539728e-12</v>
      </c>
      <c r="S45" s="13">
        <f t="shared" si="18"/>
        <v>8.11964625993371e-10</v>
      </c>
      <c r="U45" s="13">
        <v>5.706773278e-11</v>
      </c>
      <c r="V45" s="13">
        <v>6.616240352e-12</v>
      </c>
      <c r="W45" s="14">
        <f t="shared" si="19"/>
        <v>3.24167301884601</v>
      </c>
    </row>
    <row r="46" customHeight="1" spans="1:23">
      <c r="A46" s="2">
        <v>4.6</v>
      </c>
      <c r="B46" s="4" t="s">
        <v>125</v>
      </c>
      <c r="C46" s="4" t="s">
        <v>126</v>
      </c>
      <c r="D46" s="20"/>
      <c r="E46" s="3">
        <f t="shared" si="10"/>
        <v>28902652413.0261</v>
      </c>
      <c r="G46" s="31">
        <f t="shared" si="11"/>
        <v>-107.104836500796</v>
      </c>
      <c r="H46" s="6">
        <f t="shared" si="12"/>
        <v>-1.86933204174909</v>
      </c>
      <c r="I46" s="32"/>
      <c r="J46" s="2">
        <f t="shared" si="13"/>
        <v>186.933204174909</v>
      </c>
      <c r="K46" s="2">
        <f t="shared" si="14"/>
        <v>3.75957632535672</v>
      </c>
      <c r="L46" s="33"/>
      <c r="M46" s="9">
        <f t="shared" si="15"/>
        <v>5.9624883961834e-11</v>
      </c>
      <c r="N46" s="2">
        <f t="shared" si="16"/>
        <v>3.19518861129761</v>
      </c>
      <c r="O46" s="24"/>
      <c r="P46" s="10">
        <v>1.495485515</v>
      </c>
      <c r="Q46" s="10">
        <v>42.8739246</v>
      </c>
      <c r="R46" s="13">
        <f t="shared" si="17"/>
        <v>6.6206639234565e-12</v>
      </c>
      <c r="S46" s="13">
        <f t="shared" si="18"/>
        <v>8.31355323993371e-10</v>
      </c>
      <c r="U46" s="13">
        <v>5.711684757e-11</v>
      </c>
      <c r="V46" s="13">
        <v>6.620654813e-12</v>
      </c>
      <c r="W46" s="14">
        <f t="shared" si="19"/>
        <v>3.24181892996978</v>
      </c>
    </row>
    <row r="47" customHeight="1" spans="1:23">
      <c r="A47" s="2">
        <v>4.64</v>
      </c>
      <c r="B47" s="4" t="s">
        <v>127</v>
      </c>
      <c r="C47" s="4" t="s">
        <v>128</v>
      </c>
      <c r="D47" s="20"/>
      <c r="E47" s="3">
        <f t="shared" si="10"/>
        <v>29153979825.3133</v>
      </c>
      <c r="G47" s="31">
        <f t="shared" si="11"/>
        <v>-107.96124000672</v>
      </c>
      <c r="H47" s="6">
        <f t="shared" si="12"/>
        <v>-1.88427910265309</v>
      </c>
      <c r="I47" s="32"/>
      <c r="J47" s="2">
        <f t="shared" si="13"/>
        <v>188.427910265309</v>
      </c>
      <c r="K47" s="2">
        <f t="shared" si="14"/>
        <v>3.75436222365023</v>
      </c>
      <c r="L47" s="33"/>
      <c r="M47" s="9">
        <f t="shared" si="15"/>
        <v>5.94724656891917e-11</v>
      </c>
      <c r="N47" s="2">
        <f t="shared" si="16"/>
        <v>3.17887385697632</v>
      </c>
      <c r="O47" s="24"/>
      <c r="P47" s="10">
        <v>1.496501794</v>
      </c>
      <c r="Q47" s="10">
        <v>43.8739246</v>
      </c>
      <c r="R47" s="13">
        <f t="shared" si="17"/>
        <v>6.6251630922174e-12</v>
      </c>
      <c r="S47" s="13">
        <f t="shared" si="18"/>
        <v>8.50746021993371e-10</v>
      </c>
      <c r="U47" s="13">
        <v>5.716517151e-11</v>
      </c>
      <c r="V47" s="13">
        <v>6.625153976e-12</v>
      </c>
      <c r="W47" s="14">
        <f t="shared" si="19"/>
        <v>3.24194451526882</v>
      </c>
    </row>
    <row r="48" customHeight="1" spans="1:23">
      <c r="A48" s="2">
        <v>4.68</v>
      </c>
      <c r="B48" s="4" t="s">
        <v>129</v>
      </c>
      <c r="C48" s="4" t="s">
        <v>130</v>
      </c>
      <c r="D48" s="20"/>
      <c r="E48" s="3">
        <f t="shared" si="10"/>
        <v>29405307237.6005</v>
      </c>
      <c r="G48" s="31">
        <f t="shared" si="11"/>
        <v>-108.8165464328</v>
      </c>
      <c r="H48" s="6">
        <f t="shared" si="12"/>
        <v>-1.89920701590165</v>
      </c>
      <c r="I48" s="32"/>
      <c r="J48" s="2">
        <f t="shared" si="13"/>
        <v>189.920701590165</v>
      </c>
      <c r="K48" s="2">
        <f t="shared" si="14"/>
        <v>3.7491651798755</v>
      </c>
      <c r="L48" s="33"/>
      <c r="M48" s="9">
        <f t="shared" si="15"/>
        <v>5.93962795888507e-11</v>
      </c>
      <c r="N48" s="2">
        <f t="shared" si="16"/>
        <v>3.17073459871997</v>
      </c>
      <c r="O48" s="24"/>
      <c r="P48" s="10">
        <v>1.497505142</v>
      </c>
      <c r="Q48" s="10">
        <v>44.8739246</v>
      </c>
      <c r="R48" s="13">
        <f t="shared" si="17"/>
        <v>6.6296050141482e-12</v>
      </c>
      <c r="S48" s="13">
        <f t="shared" si="18"/>
        <v>8.70136719993371e-10</v>
      </c>
      <c r="U48" s="13">
        <v>5.7212873e-11</v>
      </c>
      <c r="V48" s="13">
        <v>6.62959589e-12</v>
      </c>
      <c r="W48" s="14">
        <f t="shared" si="19"/>
        <v>3.24206820850698</v>
      </c>
    </row>
    <row r="49" customHeight="1" spans="1:23">
      <c r="A49" s="2">
        <v>4.72</v>
      </c>
      <c r="B49" s="4" t="s">
        <v>131</v>
      </c>
      <c r="C49" s="4" t="s">
        <v>132</v>
      </c>
      <c r="D49" s="20"/>
      <c r="E49" s="3">
        <f t="shared" si="10"/>
        <v>29656634649.8876</v>
      </c>
      <c r="G49" s="31">
        <f t="shared" si="11"/>
        <v>-109.669864870796</v>
      </c>
      <c r="H49" s="6">
        <f t="shared" si="12"/>
        <v>-1.91410023221266</v>
      </c>
      <c r="I49" s="32"/>
      <c r="J49" s="2">
        <f t="shared" si="13"/>
        <v>191.410023221266</v>
      </c>
      <c r="K49" s="2">
        <f t="shared" si="14"/>
        <v>3.74392399651685</v>
      </c>
      <c r="L49" s="33"/>
      <c r="M49" s="9">
        <f t="shared" si="15"/>
        <v>5.92582248608685e-11</v>
      </c>
      <c r="N49" s="2">
        <f t="shared" si="16"/>
        <v>3.15601225610511</v>
      </c>
      <c r="O49" s="24"/>
      <c r="P49" s="10">
        <v>1.498493197</v>
      </c>
      <c r="Q49" s="10">
        <v>45.8739246</v>
      </c>
      <c r="R49" s="13">
        <f t="shared" si="17"/>
        <v>6.6339792324387e-12</v>
      </c>
      <c r="S49" s="13">
        <f t="shared" si="18"/>
        <v>8.89527417993371e-10</v>
      </c>
      <c r="U49" s="13">
        <v>5.725987959e-11</v>
      </c>
      <c r="V49" s="13">
        <v>6.633970105e-12</v>
      </c>
      <c r="W49" s="14">
        <f t="shared" si="19"/>
        <v>3.24219025179471</v>
      </c>
    </row>
    <row r="50" customHeight="1" spans="1:23">
      <c r="A50" s="2">
        <v>4.76</v>
      </c>
      <c r="B50" s="4" t="s">
        <v>133</v>
      </c>
      <c r="C50" s="4" t="s">
        <v>134</v>
      </c>
      <c r="D50" s="20"/>
      <c r="E50" s="3">
        <f t="shared" si="10"/>
        <v>29907962062.1748</v>
      </c>
      <c r="G50" s="31">
        <f t="shared" si="11"/>
        <v>-110.521963714887</v>
      </c>
      <c r="H50" s="6">
        <f t="shared" si="12"/>
        <v>-1.92897216259447</v>
      </c>
      <c r="I50" s="32"/>
      <c r="J50" s="2">
        <f t="shared" si="13"/>
        <v>192.897216259447</v>
      </c>
      <c r="K50" s="2">
        <f t="shared" si="14"/>
        <v>3.73869196210864</v>
      </c>
      <c r="L50" s="33"/>
      <c r="M50" s="9">
        <f t="shared" si="15"/>
        <v>5.91735308396032e-11</v>
      </c>
      <c r="N50" s="2">
        <f t="shared" si="16"/>
        <v>3.14699732676482</v>
      </c>
      <c r="O50" s="24"/>
      <c r="P50" s="10">
        <v>1.499481633</v>
      </c>
      <c r="Q50" s="10">
        <v>46.8739246</v>
      </c>
      <c r="R50" s="13">
        <f t="shared" si="17"/>
        <v>6.6383551374543e-12</v>
      </c>
      <c r="S50" s="13">
        <f t="shared" si="18"/>
        <v>9.08918115993371e-10</v>
      </c>
      <c r="U50" s="13">
        <v>5.730603523e-11</v>
      </c>
      <c r="V50" s="13">
        <v>6.638346001e-12</v>
      </c>
      <c r="W50" s="14">
        <f t="shared" si="19"/>
        <v>3.24230070962182</v>
      </c>
    </row>
    <row r="51" customHeight="1" spans="1:23">
      <c r="A51" s="2">
        <v>4.8</v>
      </c>
      <c r="B51" s="4" t="s">
        <v>135</v>
      </c>
      <c r="C51" s="4" t="s">
        <v>136</v>
      </c>
      <c r="D51" s="20"/>
      <c r="E51" s="3">
        <f t="shared" si="10"/>
        <v>30159289474.462</v>
      </c>
      <c r="G51" s="31">
        <f t="shared" si="11"/>
        <v>-111.372664581913</v>
      </c>
      <c r="H51" s="6">
        <f t="shared" si="12"/>
        <v>-1.94381969367365</v>
      </c>
      <c r="I51" s="32"/>
      <c r="J51" s="2">
        <f t="shared" si="13"/>
        <v>194.381969367365</v>
      </c>
      <c r="K51" s="2">
        <f t="shared" si="14"/>
        <v>3.7334569685665</v>
      </c>
      <c r="L51" s="33"/>
      <c r="M51" s="9">
        <f t="shared" si="15"/>
        <v>5.90764490990515e-11</v>
      </c>
      <c r="N51" s="2">
        <f t="shared" si="16"/>
        <v>3.13667969472033</v>
      </c>
      <c r="O51" s="24"/>
      <c r="P51" s="10">
        <v>1.500437164</v>
      </c>
      <c r="Q51" s="10">
        <v>47.8739246</v>
      </c>
      <c r="R51" s="13">
        <f t="shared" si="17"/>
        <v>6.6425853687444e-12</v>
      </c>
      <c r="S51" s="13">
        <f t="shared" si="18"/>
        <v>9.28308813993371e-10</v>
      </c>
      <c r="U51" s="13">
        <v>5.735120589e-11</v>
      </c>
      <c r="V51" s="13">
        <v>6.642576226e-12</v>
      </c>
      <c r="W51" s="14">
        <f t="shared" si="19"/>
        <v>3.24241458939883</v>
      </c>
    </row>
    <row r="52" customHeight="1" spans="1:23">
      <c r="A52" s="2">
        <v>4.84</v>
      </c>
      <c r="B52" s="4" t="s">
        <v>137</v>
      </c>
      <c r="C52" s="4" t="s">
        <v>138</v>
      </c>
      <c r="D52" s="20"/>
      <c r="E52" s="3">
        <f t="shared" si="10"/>
        <v>30410616886.7492</v>
      </c>
      <c r="G52" s="31">
        <f t="shared" si="11"/>
        <v>-112.222691260103</v>
      </c>
      <c r="H52" s="6">
        <f t="shared" si="12"/>
        <v>-1.95865545793785</v>
      </c>
      <c r="I52" s="32"/>
      <c r="J52" s="2">
        <f t="shared" si="13"/>
        <v>195.865545793785</v>
      </c>
      <c r="K52" s="2">
        <f t="shared" si="14"/>
        <v>3.72826728505398</v>
      </c>
      <c r="L52" s="33"/>
      <c r="M52" s="9">
        <f t="shared" si="15"/>
        <v>5.90296304298415e-11</v>
      </c>
      <c r="N52" s="2">
        <f t="shared" si="16"/>
        <v>3.13170996552374</v>
      </c>
      <c r="O52" s="24"/>
      <c r="P52" s="10">
        <v>1.501373488</v>
      </c>
      <c r="Q52" s="10">
        <v>48.8739246</v>
      </c>
      <c r="R52" s="13">
        <f t="shared" si="17"/>
        <v>6.6467305687248e-12</v>
      </c>
      <c r="S52" s="13">
        <f t="shared" si="18"/>
        <v>9.47699511993371e-10</v>
      </c>
      <c r="U52" s="13">
        <v>5.739519906e-11</v>
      </c>
      <c r="V52" s="13">
        <v>6.646721424e-12</v>
      </c>
      <c r="W52" s="14">
        <f t="shared" si="19"/>
        <v>3.24252247306178</v>
      </c>
    </row>
    <row r="53" customHeight="1" spans="1:23">
      <c r="A53" s="2">
        <v>4.88</v>
      </c>
      <c r="B53" s="4" t="s">
        <v>139</v>
      </c>
      <c r="C53" s="4" t="s">
        <v>140</v>
      </c>
      <c r="D53" s="20"/>
      <c r="E53" s="3">
        <f t="shared" si="10"/>
        <v>30661944299.0364</v>
      </c>
      <c r="G53" s="31">
        <f t="shared" si="11"/>
        <v>-113.071925887599</v>
      </c>
      <c r="H53" s="6">
        <f t="shared" si="12"/>
        <v>-1.97347739830961</v>
      </c>
      <c r="I53" s="32"/>
      <c r="J53" s="2">
        <f t="shared" si="13"/>
        <v>197.347739830961</v>
      </c>
      <c r="K53" s="2">
        <f t="shared" si="14"/>
        <v>3.72311403969588</v>
      </c>
      <c r="L53" s="33"/>
      <c r="M53" s="9">
        <f t="shared" si="15"/>
        <v>5.89746269094736e-11</v>
      </c>
      <c r="N53" s="2">
        <f t="shared" si="16"/>
        <v>3.12587646060748</v>
      </c>
      <c r="O53" s="24"/>
      <c r="P53" s="10">
        <v>1.50229695</v>
      </c>
      <c r="Q53" s="10">
        <v>49.8739246</v>
      </c>
      <c r="R53" s="13">
        <f t="shared" si="17"/>
        <v>6.650818827345e-12</v>
      </c>
      <c r="S53" s="13">
        <f t="shared" si="18"/>
        <v>9.67090209993371e-10</v>
      </c>
      <c r="U53" s="13">
        <v>5.743802804e-11</v>
      </c>
      <c r="V53" s="13">
        <v>6.650809675e-12</v>
      </c>
      <c r="W53" s="14">
        <f t="shared" si="19"/>
        <v>3.24262136790134</v>
      </c>
    </row>
    <row r="54" customHeight="1" spans="1:23">
      <c r="A54" s="2">
        <v>4.92</v>
      </c>
      <c r="B54" s="4" t="s">
        <v>141</v>
      </c>
      <c r="C54" s="4" t="s">
        <v>142</v>
      </c>
      <c r="D54" s="20"/>
      <c r="E54" s="3">
        <f t="shared" si="10"/>
        <v>30913271711.3236</v>
      </c>
      <c r="G54" s="31">
        <f t="shared" si="11"/>
        <v>-113.920355025496</v>
      </c>
      <c r="H54" s="6">
        <f t="shared" si="12"/>
        <v>-1.98828528023577</v>
      </c>
      <c r="I54" s="32"/>
      <c r="J54" s="2">
        <f t="shared" si="13"/>
        <v>198.828528023577</v>
      </c>
      <c r="K54" s="2">
        <f t="shared" si="14"/>
        <v>3.71799548700036</v>
      </c>
      <c r="L54" s="33"/>
      <c r="M54" s="9">
        <f t="shared" si="15"/>
        <v>5.89186901317322e-11</v>
      </c>
      <c r="N54" s="2">
        <f t="shared" si="16"/>
        <v>3.11994955462599</v>
      </c>
      <c r="O54" s="24"/>
      <c r="P54" s="10">
        <v>1.503165389</v>
      </c>
      <c r="Q54" s="10">
        <v>50.8739246</v>
      </c>
      <c r="R54" s="13">
        <f t="shared" si="17"/>
        <v>6.6546634936419e-12</v>
      </c>
      <c r="S54" s="13">
        <f t="shared" si="18"/>
        <v>9.86480907993371e-10</v>
      </c>
      <c r="U54" s="13">
        <v>5.747948728e-11</v>
      </c>
      <c r="V54" s="13">
        <v>6.654654337e-12</v>
      </c>
      <c r="W54" s="14">
        <f t="shared" si="19"/>
        <v>3.24272976339885</v>
      </c>
    </row>
    <row r="55" customHeight="1" spans="1:23">
      <c r="A55" s="2">
        <v>4.96</v>
      </c>
      <c r="B55" s="4" t="s">
        <v>143</v>
      </c>
      <c r="C55" s="4" t="s">
        <v>144</v>
      </c>
      <c r="D55" s="20"/>
      <c r="E55" s="3">
        <f t="shared" si="10"/>
        <v>31164599123.6107</v>
      </c>
      <c r="G55" s="31">
        <f t="shared" si="11"/>
        <v>-114.768935697781</v>
      </c>
      <c r="H55" s="6">
        <f t="shared" si="12"/>
        <v>-2.00309580693593</v>
      </c>
      <c r="I55" s="32"/>
      <c r="J55" s="2">
        <f t="shared" si="13"/>
        <v>200.309580693593</v>
      </c>
      <c r="K55" s="2">
        <f t="shared" si="14"/>
        <v>3.71297273259556</v>
      </c>
      <c r="L55" s="33"/>
      <c r="M55" s="9">
        <f t="shared" si="15"/>
        <v>5.89292133530932e-11</v>
      </c>
      <c r="N55" s="2">
        <f t="shared" si="16"/>
        <v>3.12106413649165</v>
      </c>
      <c r="O55" s="24"/>
      <c r="P55" s="10">
        <v>1.504054635</v>
      </c>
      <c r="Q55" s="10">
        <v>51.8739246</v>
      </c>
      <c r="R55" s="13">
        <f t="shared" si="17"/>
        <v>6.6586002746085e-12</v>
      </c>
      <c r="S55" s="13">
        <f t="shared" si="18"/>
        <v>1.00587160599337e-9</v>
      </c>
      <c r="U55" s="13">
        <v>5.751968174e-11</v>
      </c>
      <c r="V55" s="13">
        <v>6.658591111e-12</v>
      </c>
      <c r="W55" s="14">
        <f t="shared" si="19"/>
        <v>3.24281098243835</v>
      </c>
    </row>
    <row r="56" customHeight="1" spans="1:23">
      <c r="A56" s="2">
        <v>5</v>
      </c>
      <c r="B56" s="4" t="s">
        <v>145</v>
      </c>
      <c r="C56" s="4" t="s">
        <v>146</v>
      </c>
      <c r="D56" s="20"/>
      <c r="E56" s="3">
        <f t="shared" si="10"/>
        <v>31415926535.8979</v>
      </c>
      <c r="G56" s="31">
        <f t="shared" si="11"/>
        <v>-115.617629511661</v>
      </c>
      <c r="H56" s="6">
        <f t="shared" si="12"/>
        <v>-2.01790830832945</v>
      </c>
      <c r="I56" s="32"/>
      <c r="J56" s="2">
        <f t="shared" si="13"/>
        <v>201.790830832945</v>
      </c>
      <c r="K56" s="2">
        <f t="shared" si="14"/>
        <v>3.70804091346391</v>
      </c>
      <c r="L56" s="33"/>
      <c r="M56" s="9">
        <f t="shared" si="15"/>
        <v>5.89370704083722e-11</v>
      </c>
      <c r="N56" s="2">
        <f t="shared" si="16"/>
        <v>3.12189645740155</v>
      </c>
      <c r="O56" s="24"/>
      <c r="P56" s="10">
        <v>1.504718576</v>
      </c>
      <c r="Q56" s="10">
        <v>52.8739246</v>
      </c>
      <c r="R56" s="13">
        <f t="shared" si="17"/>
        <v>6.6615396078096e-12</v>
      </c>
      <c r="S56" s="13">
        <f t="shared" si="18"/>
        <v>1.02526230399337e-9</v>
      </c>
      <c r="U56" s="13">
        <v>5.755748497e-11</v>
      </c>
      <c r="V56" s="13">
        <v>6.661530442e-12</v>
      </c>
      <c r="W56" s="14">
        <f t="shared" si="19"/>
        <v>3.24297371796881</v>
      </c>
    </row>
    <row r="57" customHeight="1" spans="1:23">
      <c r="A57" s="2">
        <v>5.04</v>
      </c>
      <c r="B57" s="4" t="s">
        <v>147</v>
      </c>
      <c r="C57" s="4" t="s">
        <v>148</v>
      </c>
      <c r="D57" s="20"/>
      <c r="E57" s="3">
        <f t="shared" si="10"/>
        <v>31667253948.1851</v>
      </c>
      <c r="G57" s="31">
        <f t="shared" si="11"/>
        <v>-116.466364885617</v>
      </c>
      <c r="H57" s="6">
        <f t="shared" si="12"/>
        <v>-2.03272153508313</v>
      </c>
      <c r="I57" s="32"/>
      <c r="J57" s="2">
        <f t="shared" si="13"/>
        <v>203.272153508313</v>
      </c>
      <c r="K57" s="2">
        <f t="shared" si="14"/>
        <v>3.70319322002301</v>
      </c>
      <c r="L57" s="33"/>
      <c r="M57" s="9">
        <f t="shared" si="15"/>
        <v>5.89399565247316e-11</v>
      </c>
      <c r="N57" s="2">
        <f t="shared" si="16"/>
        <v>3.12220222003911</v>
      </c>
      <c r="O57" s="24"/>
      <c r="P57" s="10">
        <v>1.505311392</v>
      </c>
      <c r="Q57" s="10">
        <v>53.8739246</v>
      </c>
      <c r="R57" s="13">
        <f t="shared" si="17"/>
        <v>6.6641640635232e-12</v>
      </c>
      <c r="S57" s="13">
        <f t="shared" si="18"/>
        <v>1.04465300199337e-9</v>
      </c>
      <c r="U57" s="13">
        <v>5.759381767e-11</v>
      </c>
      <c r="V57" s="13">
        <v>6.664154895e-12</v>
      </c>
      <c r="W57" s="14">
        <f t="shared" si="19"/>
        <v>3.24315264761204</v>
      </c>
    </row>
    <row r="58" customHeight="1" spans="1:23">
      <c r="A58" s="2">
        <v>5.08</v>
      </c>
      <c r="B58" s="4" t="s">
        <v>149</v>
      </c>
      <c r="C58" s="4" t="s">
        <v>150</v>
      </c>
      <c r="D58" s="20"/>
      <c r="E58" s="3">
        <f t="shared" si="10"/>
        <v>31918581360.4723</v>
      </c>
      <c r="G58" s="31">
        <f t="shared" si="11"/>
        <v>-117.315607973442</v>
      </c>
      <c r="H58" s="6">
        <f t="shared" si="12"/>
        <v>-2.04754362311548</v>
      </c>
      <c r="I58" s="32"/>
      <c r="J58" s="2">
        <f t="shared" si="13"/>
        <v>204.754362311548</v>
      </c>
      <c r="K58" s="2">
        <f t="shared" si="14"/>
        <v>3.69845697658531</v>
      </c>
      <c r="L58" s="33"/>
      <c r="M58" s="9">
        <f t="shared" si="15"/>
        <v>5.89752144322987e-11</v>
      </c>
      <c r="N58" s="2">
        <f t="shared" si="16"/>
        <v>3.12593874274519</v>
      </c>
      <c r="O58" s="24"/>
      <c r="P58" s="10">
        <v>1.505836493</v>
      </c>
      <c r="Q58" s="10">
        <v>54.8739246</v>
      </c>
      <c r="R58" s="13">
        <f t="shared" si="17"/>
        <v>6.6664887381603e-12</v>
      </c>
      <c r="S58" s="13">
        <f t="shared" si="18"/>
        <v>1.06404369999337e-9</v>
      </c>
      <c r="U58" s="13">
        <v>5.762821816e-11</v>
      </c>
      <c r="V58" s="13">
        <v>6.666479565e-12</v>
      </c>
      <c r="W58" s="14">
        <f t="shared" si="19"/>
        <v>3.2433400101669</v>
      </c>
    </row>
    <row r="59" customHeight="1" spans="1:23">
      <c r="A59" s="2">
        <v>5.12</v>
      </c>
      <c r="B59" s="4" t="s">
        <v>151</v>
      </c>
      <c r="C59" s="4" t="s">
        <v>152</v>
      </c>
      <c r="D59" s="20"/>
      <c r="E59" s="3">
        <f t="shared" si="10"/>
        <v>32169908772.7595</v>
      </c>
      <c r="G59" s="31">
        <f t="shared" si="11"/>
        <v>-118.165543982123</v>
      </c>
      <c r="H59" s="6">
        <f t="shared" si="12"/>
        <v>-2.06237780489822</v>
      </c>
      <c r="I59" s="32"/>
      <c r="J59" s="2">
        <f t="shared" si="13"/>
        <v>206.237780489822</v>
      </c>
      <c r="K59" s="2">
        <f t="shared" si="14"/>
        <v>3.69384101808792</v>
      </c>
      <c r="L59" s="33"/>
      <c r="M59" s="9">
        <f t="shared" si="15"/>
        <v>5.90233339361822e-11</v>
      </c>
      <c r="N59" s="2">
        <f t="shared" si="16"/>
        <v>3.13104190305653</v>
      </c>
      <c r="O59" s="24"/>
      <c r="P59" s="10">
        <v>1.506394123</v>
      </c>
      <c r="Q59" s="10">
        <v>55.8739246</v>
      </c>
      <c r="R59" s="13">
        <f t="shared" si="17"/>
        <v>6.6689574219333e-12</v>
      </c>
      <c r="S59" s="13">
        <f t="shared" si="18"/>
        <v>1.08343439799337e-9</v>
      </c>
      <c r="U59" s="13">
        <v>5.766057043e-11</v>
      </c>
      <c r="V59" s="13">
        <v>6.668948246e-12</v>
      </c>
      <c r="W59" s="14">
        <f t="shared" si="19"/>
        <v>3.24348409456539</v>
      </c>
    </row>
    <row r="60" customHeight="1" spans="1:23">
      <c r="A60" s="2">
        <v>5.16</v>
      </c>
      <c r="B60" s="4" t="s">
        <v>153</v>
      </c>
      <c r="C60" s="4" t="s">
        <v>154</v>
      </c>
      <c r="D60" s="20"/>
      <c r="E60" s="3">
        <f t="shared" si="10"/>
        <v>32421236185.0467</v>
      </c>
      <c r="G60" s="31">
        <f t="shared" si="11"/>
        <v>-119.015910790527</v>
      </c>
      <c r="H60" s="6">
        <f t="shared" si="12"/>
        <v>-2.07721950555455</v>
      </c>
      <c r="I60" s="32"/>
      <c r="J60" s="2">
        <f t="shared" si="13"/>
        <v>207.721950555455</v>
      </c>
      <c r="K60" s="2">
        <f t="shared" si="14"/>
        <v>3.68932614881324</v>
      </c>
      <c r="L60" s="33"/>
      <c r="M60" s="9">
        <f t="shared" si="15"/>
        <v>5.90532505835988e-11</v>
      </c>
      <c r="N60" s="2">
        <f t="shared" si="16"/>
        <v>3.13421671577327</v>
      </c>
      <c r="O60" s="24"/>
      <c r="P60" s="10">
        <v>1.507049343</v>
      </c>
      <c r="Q60" s="10">
        <v>56.8739246</v>
      </c>
      <c r="R60" s="13">
        <f t="shared" si="17"/>
        <v>6.6718581463953e-12</v>
      </c>
      <c r="S60" s="13">
        <f t="shared" si="18"/>
        <v>1.10282509599337e-9</v>
      </c>
      <c r="U60" s="13">
        <v>5.76908043e-11</v>
      </c>
      <c r="V60" s="13">
        <v>6.671848966e-12</v>
      </c>
      <c r="W60" s="14">
        <f t="shared" si="19"/>
        <v>3.24355148874386</v>
      </c>
    </row>
    <row r="61" customHeight="1" spans="1:23">
      <c r="A61" s="2">
        <v>5.2</v>
      </c>
      <c r="B61" s="4" t="s">
        <v>155</v>
      </c>
      <c r="C61" s="4" t="s">
        <v>156</v>
      </c>
      <c r="D61" s="20"/>
      <c r="E61" s="3">
        <f t="shared" si="10"/>
        <v>32672563597.3338</v>
      </c>
      <c r="G61" s="31">
        <f t="shared" si="11"/>
        <v>-119.867881484676</v>
      </c>
      <c r="H61" s="6">
        <f t="shared" si="12"/>
        <v>-2.09208919929794</v>
      </c>
      <c r="I61" s="32"/>
      <c r="J61" s="2">
        <f t="shared" si="13"/>
        <v>209.208919929794</v>
      </c>
      <c r="K61" s="2">
        <f t="shared" si="14"/>
        <v>3.68498204930972</v>
      </c>
      <c r="L61" s="33"/>
      <c r="M61" s="9">
        <f t="shared" si="15"/>
        <v>5.91646315380909e-11</v>
      </c>
      <c r="N61" s="2">
        <f t="shared" si="16"/>
        <v>3.14605082343102</v>
      </c>
      <c r="O61" s="24"/>
      <c r="P61" s="10">
        <v>1.507567957</v>
      </c>
      <c r="Q61" s="10">
        <v>57.8739246</v>
      </c>
      <c r="R61" s="13">
        <f t="shared" si="17"/>
        <v>6.6741541024347e-12</v>
      </c>
      <c r="S61" s="13">
        <f t="shared" si="18"/>
        <v>1.12221579399337e-9</v>
      </c>
      <c r="U61" s="13">
        <v>5.771899092e-11</v>
      </c>
      <c r="V61" s="13">
        <v>6.67414492e-12</v>
      </c>
      <c r="W61" s="14">
        <f t="shared" si="19"/>
        <v>3.24366040965877</v>
      </c>
    </row>
    <row r="62" customHeight="1" spans="1:23">
      <c r="A62" s="2">
        <v>5.24</v>
      </c>
      <c r="B62" s="4" t="s">
        <v>157</v>
      </c>
      <c r="C62" s="4" t="s">
        <v>158</v>
      </c>
      <c r="D62" s="20"/>
      <c r="E62" s="3">
        <f t="shared" si="10"/>
        <v>32923891009.621</v>
      </c>
      <c r="G62" s="31">
        <f t="shared" si="11"/>
        <v>-120.720932603612</v>
      </c>
      <c r="H62" s="6">
        <f t="shared" si="12"/>
        <v>-2.10697775001121</v>
      </c>
      <c r="I62" s="32"/>
      <c r="J62" s="2">
        <f t="shared" si="13"/>
        <v>210.697775001121</v>
      </c>
      <c r="K62" s="2">
        <f t="shared" si="14"/>
        <v>3.68077265653245</v>
      </c>
      <c r="L62" s="33"/>
      <c r="M62" s="9">
        <f t="shared" si="15"/>
        <v>5.92396610372714e-11</v>
      </c>
      <c r="N62" s="2">
        <f t="shared" si="16"/>
        <v>3.15403519796497</v>
      </c>
      <c r="O62" s="24"/>
      <c r="P62" s="10">
        <v>1.508477004</v>
      </c>
      <c r="Q62" s="10">
        <v>58.8739246</v>
      </c>
      <c r="R62" s="13">
        <f t="shared" si="17"/>
        <v>6.6781785444084e-12</v>
      </c>
      <c r="S62" s="13">
        <f t="shared" si="18"/>
        <v>1.14160649199337e-9</v>
      </c>
      <c r="U62" s="13">
        <v>5.774418745e-11</v>
      </c>
      <c r="V62" s="13">
        <v>6.678169357e-12</v>
      </c>
      <c r="W62" s="14">
        <f t="shared" si="19"/>
        <v>3.24353491603339</v>
      </c>
    </row>
    <row r="63" customHeight="1" spans="1:23">
      <c r="A63" s="2">
        <v>5.28</v>
      </c>
      <c r="B63" s="4" t="s">
        <v>159</v>
      </c>
      <c r="C63" s="4" t="s">
        <v>160</v>
      </c>
      <c r="D63" s="20"/>
      <c r="E63" s="3">
        <f t="shared" si="10"/>
        <v>33175218421.9082</v>
      </c>
      <c r="G63" s="31">
        <f t="shared" si="11"/>
        <v>-121.575279471774</v>
      </c>
      <c r="H63" s="6">
        <f t="shared" si="12"/>
        <v>-2.12188891581474</v>
      </c>
      <c r="I63" s="32"/>
      <c r="J63" s="2">
        <f t="shared" si="13"/>
        <v>212.188891581474</v>
      </c>
      <c r="K63" s="2">
        <f t="shared" si="14"/>
        <v>3.67670776590652</v>
      </c>
      <c r="L63" s="33"/>
      <c r="M63" s="9">
        <f t="shared" si="15"/>
        <v>5.93296436223632e-11</v>
      </c>
      <c r="N63" s="2">
        <f t="shared" si="16"/>
        <v>3.16362417204336</v>
      </c>
      <c r="O63" s="24"/>
      <c r="P63" s="10">
        <v>1.508154512</v>
      </c>
      <c r="Q63" s="10">
        <v>59.8739246</v>
      </c>
      <c r="R63" s="13">
        <f t="shared" si="17"/>
        <v>6.6767508400752e-12</v>
      </c>
      <c r="S63" s="13">
        <f t="shared" si="18"/>
        <v>1.16099718999337e-9</v>
      </c>
      <c r="U63" s="13">
        <v>5.776704001e-11</v>
      </c>
      <c r="V63" s="13">
        <v>6.676741655e-12</v>
      </c>
      <c r="W63" s="14">
        <f t="shared" si="19"/>
        <v>3.2439946353097</v>
      </c>
    </row>
    <row r="64" customHeight="1" spans="1:23">
      <c r="A64" s="2">
        <v>5.32</v>
      </c>
      <c r="B64" s="4" t="s">
        <v>161</v>
      </c>
      <c r="C64" s="4" t="s">
        <v>162</v>
      </c>
      <c r="D64" s="20"/>
      <c r="E64" s="3">
        <f t="shared" si="10"/>
        <v>33426545834.1954</v>
      </c>
      <c r="G64" s="31">
        <f t="shared" si="11"/>
        <v>-122.431619744756</v>
      </c>
      <c r="H64" s="6">
        <f t="shared" si="12"/>
        <v>-2.13683487309569</v>
      </c>
      <c r="I64" s="32"/>
      <c r="J64" s="2">
        <f t="shared" si="13"/>
        <v>213.683487309569</v>
      </c>
      <c r="K64" s="2">
        <f t="shared" si="14"/>
        <v>3.67282579615674</v>
      </c>
      <c r="L64" s="33"/>
      <c r="M64" s="9">
        <f t="shared" si="15"/>
        <v>5.946807451261e-11</v>
      </c>
      <c r="N64" s="2">
        <f t="shared" si="16"/>
        <v>3.1784044471094</v>
      </c>
      <c r="O64" s="24"/>
      <c r="P64" s="10">
        <v>1.50818489</v>
      </c>
      <c r="Q64" s="10">
        <v>60.8739246</v>
      </c>
      <c r="R64" s="13">
        <f t="shared" si="17"/>
        <v>6.676885326519e-12</v>
      </c>
      <c r="S64" s="13">
        <f t="shared" si="18"/>
        <v>1.18038788799337e-9</v>
      </c>
      <c r="U64" s="13">
        <v>5.778715417e-11</v>
      </c>
      <c r="V64" s="13">
        <v>6.67687614e-12</v>
      </c>
      <c r="W64" s="14">
        <f t="shared" si="19"/>
        <v>3.2442419927548</v>
      </c>
    </row>
    <row r="65" customHeight="1" spans="1:23">
      <c r="A65" s="2">
        <v>5.36</v>
      </c>
      <c r="B65" s="4" t="s">
        <v>163</v>
      </c>
      <c r="C65" s="4" t="s">
        <v>164</v>
      </c>
      <c r="D65" s="20"/>
      <c r="E65" s="3">
        <f t="shared" si="10"/>
        <v>33677873246.4826</v>
      </c>
      <c r="G65" s="31">
        <f t="shared" si="11"/>
        <v>-123.290466180036</v>
      </c>
      <c r="H65" s="6">
        <f t="shared" si="12"/>
        <v>-2.15182457116034</v>
      </c>
      <c r="I65" s="32"/>
      <c r="J65" s="2">
        <f t="shared" si="13"/>
        <v>215.182457116034</v>
      </c>
      <c r="K65" s="2">
        <f t="shared" si="14"/>
        <v>3.66915293743456</v>
      </c>
      <c r="L65" s="33"/>
      <c r="M65" s="9">
        <f t="shared" si="15"/>
        <v>5.96421135610861e-11</v>
      </c>
      <c r="N65" s="2">
        <f t="shared" si="16"/>
        <v>3.19703548360049</v>
      </c>
      <c r="O65" s="24"/>
      <c r="P65" s="10">
        <v>1.508245113</v>
      </c>
      <c r="Q65" s="10">
        <v>61.8739246</v>
      </c>
      <c r="R65" s="13">
        <f t="shared" si="17"/>
        <v>6.6771519397623e-12</v>
      </c>
      <c r="S65" s="13">
        <f t="shared" si="18"/>
        <v>1.19977858599337e-9</v>
      </c>
      <c r="U65" s="13">
        <v>5.780447901e-11</v>
      </c>
      <c r="V65" s="13">
        <v>6.677142753e-12</v>
      </c>
      <c r="W65" s="14">
        <f t="shared" si="19"/>
        <v>3.24443792620989</v>
      </c>
    </row>
    <row r="66" customHeight="1" spans="1:23">
      <c r="A66" s="2">
        <v>5.4</v>
      </c>
      <c r="B66" s="4" t="s">
        <v>165</v>
      </c>
      <c r="C66" s="4" t="s">
        <v>166</v>
      </c>
      <c r="D66" s="20"/>
      <c r="E66" s="3">
        <f t="shared" si="10"/>
        <v>33929200658.7698</v>
      </c>
      <c r="G66" s="31">
        <f t="shared" si="11"/>
        <v>-124.150442870146</v>
      </c>
      <c r="H66" s="6">
        <f t="shared" si="12"/>
        <v>-2.16683399589317</v>
      </c>
      <c r="I66" s="32"/>
      <c r="J66" s="2">
        <f t="shared" si="13"/>
        <v>216.683399589317</v>
      </c>
      <c r="K66" s="2">
        <f t="shared" si="14"/>
        <v>3.6656030305285</v>
      </c>
      <c r="L66" s="33"/>
      <c r="M66" s="9">
        <f t="shared" si="15"/>
        <v>5.97206034799086e-11</v>
      </c>
      <c r="N66" s="2">
        <f t="shared" si="16"/>
        <v>3.2054557141303</v>
      </c>
      <c r="O66" s="24"/>
      <c r="P66" s="10">
        <v>1.508263231</v>
      </c>
      <c r="Q66" s="10">
        <v>62.8739246</v>
      </c>
      <c r="R66" s="13">
        <f t="shared" si="17"/>
        <v>6.6772321499601e-12</v>
      </c>
      <c r="S66" s="13">
        <f t="shared" si="18"/>
        <v>1.21916928399337e-9</v>
      </c>
      <c r="U66" s="13">
        <v>5.781893944e-11</v>
      </c>
      <c r="V66" s="13">
        <v>6.677222962e-12</v>
      </c>
      <c r="W66" s="14">
        <f t="shared" si="19"/>
        <v>3.24461747228034</v>
      </c>
    </row>
    <row r="67" customHeight="1" spans="1:23">
      <c r="A67" s="2">
        <v>5.44</v>
      </c>
      <c r="B67" s="4" t="s">
        <v>167</v>
      </c>
      <c r="C67" s="4" t="s">
        <v>168</v>
      </c>
      <c r="D67" s="20"/>
      <c r="E67" s="3">
        <f t="shared" si="10"/>
        <v>34180528071.0569</v>
      </c>
      <c r="G67" s="31">
        <f t="shared" si="11"/>
        <v>-125.013675919664</v>
      </c>
      <c r="H67" s="6">
        <f t="shared" si="12"/>
        <v>-2.18190025481929</v>
      </c>
      <c r="I67" s="32"/>
      <c r="J67" s="2">
        <f t="shared" si="13"/>
        <v>218.190025481929</v>
      </c>
      <c r="K67" s="2">
        <f t="shared" si="14"/>
        <v>3.66229779728899</v>
      </c>
      <c r="L67" s="33"/>
      <c r="M67" s="9">
        <f t="shared" si="15"/>
        <v>5.99467395498349e-11</v>
      </c>
      <c r="N67" s="2">
        <f t="shared" si="16"/>
        <v>3.22977702028046</v>
      </c>
      <c r="O67" s="24"/>
      <c r="P67" s="10">
        <v>1.508776197</v>
      </c>
      <c r="Q67" s="10">
        <v>63.8739246</v>
      </c>
      <c r="R67" s="13">
        <f t="shared" si="17"/>
        <v>6.6795031017387e-12</v>
      </c>
      <c r="S67" s="13">
        <f t="shared" si="18"/>
        <v>1.23855998199337e-9</v>
      </c>
      <c r="U67" s="13">
        <v>5.783047769e-11</v>
      </c>
      <c r="V67" s="13">
        <v>6.679493911e-12</v>
      </c>
      <c r="W67" s="14">
        <f t="shared" si="19"/>
        <v>3.24451152796989</v>
      </c>
    </row>
    <row r="68" customHeight="1" spans="1:23">
      <c r="A68" s="2">
        <v>5.48</v>
      </c>
      <c r="B68" s="4" t="s">
        <v>169</v>
      </c>
      <c r="C68" s="4" t="s">
        <v>170</v>
      </c>
      <c r="D68" s="20"/>
      <c r="E68" s="3">
        <f t="shared" si="10"/>
        <v>34431855483.3441</v>
      </c>
      <c r="G68" s="31">
        <f t="shared" si="11"/>
        <v>-125.878795859302</v>
      </c>
      <c r="H68" s="6">
        <f t="shared" si="12"/>
        <v>-2.19699944619062</v>
      </c>
      <c r="I68" s="32"/>
      <c r="J68" s="2">
        <f t="shared" si="13"/>
        <v>219.699944619062</v>
      </c>
      <c r="K68" s="2">
        <f t="shared" si="14"/>
        <v>3.65915197259463</v>
      </c>
      <c r="L68" s="33"/>
      <c r="M68" s="9">
        <f t="shared" si="15"/>
        <v>6.00777735859688e-11</v>
      </c>
      <c r="N68" s="2">
        <f t="shared" si="16"/>
        <v>3.24391200935957</v>
      </c>
      <c r="O68" s="24"/>
      <c r="P68" s="10">
        <v>1.509753736</v>
      </c>
      <c r="Q68" s="10">
        <v>64.8739246</v>
      </c>
      <c r="R68" s="13">
        <f t="shared" si="17"/>
        <v>6.6838307646456e-12</v>
      </c>
      <c r="S68" s="13">
        <f t="shared" si="18"/>
        <v>1.25795067999337e-9</v>
      </c>
      <c r="U68" s="13">
        <v>5.783887565e-11</v>
      </c>
      <c r="V68" s="13">
        <v>6.683821567e-12</v>
      </c>
      <c r="W68" s="14">
        <f t="shared" si="19"/>
        <v>3.24413260812871</v>
      </c>
    </row>
    <row r="69" customHeight="1" spans="1:23">
      <c r="A69" s="2">
        <v>5.52</v>
      </c>
      <c r="B69" s="4" t="s">
        <v>171</v>
      </c>
      <c r="C69" s="4" t="s">
        <v>172</v>
      </c>
      <c r="D69" s="20"/>
      <c r="E69" s="3">
        <f t="shared" si="10"/>
        <v>34683182895.6313</v>
      </c>
      <c r="G69" s="31">
        <f t="shared" si="11"/>
        <v>-126.747281008583</v>
      </c>
      <c r="H69" s="6">
        <f t="shared" si="12"/>
        <v>-2.21215737155025</v>
      </c>
      <c r="I69" s="32"/>
      <c r="J69" s="2">
        <f t="shared" si="13"/>
        <v>221.215737155024</v>
      </c>
      <c r="K69" s="2">
        <f t="shared" si="14"/>
        <v>3.65624721014372</v>
      </c>
      <c r="L69" s="33"/>
      <c r="M69" s="9">
        <f t="shared" si="15"/>
        <v>6.03114687000476e-11</v>
      </c>
      <c r="N69" s="2">
        <f t="shared" si="16"/>
        <v>3.26919792702688</v>
      </c>
      <c r="O69" s="24"/>
      <c r="P69" s="10">
        <v>1.507832162</v>
      </c>
      <c r="Q69" s="10">
        <v>65.8739246</v>
      </c>
      <c r="R69" s="13">
        <f t="shared" si="17"/>
        <v>6.6753237643902e-12</v>
      </c>
      <c r="S69" s="13">
        <f t="shared" si="18"/>
        <v>1.27734137799337e-9</v>
      </c>
      <c r="U69" s="13">
        <v>5.784414195e-11</v>
      </c>
      <c r="V69" s="13">
        <v>6.67531458e-12</v>
      </c>
      <c r="W69" s="14">
        <f t="shared" si="19"/>
        <v>3.24516151803418</v>
      </c>
    </row>
    <row r="70" customHeight="1" spans="1:23">
      <c r="A70" s="2">
        <v>5.56</v>
      </c>
      <c r="B70" s="4" t="s">
        <v>173</v>
      </c>
      <c r="C70" s="4" t="s">
        <v>174</v>
      </c>
      <c r="D70" s="20"/>
      <c r="E70" s="3">
        <f t="shared" ref="E70:E106" si="20">(A70*1000000000)*2*PI()</f>
        <v>34934510307.9185</v>
      </c>
      <c r="G70" s="31">
        <f t="shared" ref="G70:G106" si="21">IF(ISNUMBER(G69),(G69-(DEGREES(ATAN2(IMAGINARY(B70),IMREAL(B70)))-DEGREES(ATAN2(IMAGINARY(B69),IMREAL(B69))))+360*ROUND((DEGREES(ATAN2(IMAGINARY(B70),IMREAL(B70)))-DEGREES(ATAN2(IMAGINARY(B69),IMREAL(B69))))/360,0)),90-(DEGREES(ATAN2(IMAGINARY(B70),IMREAL(B70)))))</f>
        <v>-127.618425836849</v>
      </c>
      <c r="H70" s="6">
        <f t="shared" ref="H70:H101" si="22">G70/180*PI()</f>
        <v>-2.22736171706522</v>
      </c>
      <c r="I70" s="32"/>
      <c r="J70" s="2">
        <f t="shared" ref="J70:J106" si="23">-H70/$B$2</f>
        <v>222.736171706522</v>
      </c>
      <c r="K70" s="2">
        <f t="shared" ref="K70:K101" si="24">($B$1/E70*J70)^2</f>
        <v>3.65353765568808</v>
      </c>
      <c r="L70" s="33"/>
      <c r="M70" s="9">
        <f t="shared" ref="M70:M106" si="25">-((H70-H69)/(E70-E69))</f>
        <v>6.04961686296426e-11</v>
      </c>
      <c r="N70" s="2">
        <f t="shared" ref="N70:N101" si="26">($B$1*M70/$B$2)^2</f>
        <v>3.28925199702663</v>
      </c>
      <c r="O70" s="24"/>
      <c r="P70" s="10">
        <v>1.507687081</v>
      </c>
      <c r="Q70" s="10">
        <v>66.8739246</v>
      </c>
      <c r="R70" s="13">
        <f t="shared" ref="R70:R106" si="27">(P70*$Q$2*$S$1/2)</f>
        <v>6.6746814762951e-12</v>
      </c>
      <c r="S70" s="13">
        <f t="shared" ref="S70:S106" si="28">(Q70*$Q$1*$S$1/2)</f>
        <v>1.29673207599337e-9</v>
      </c>
      <c r="U70" s="13">
        <v>5.78462595e-11</v>
      </c>
      <c r="V70" s="13">
        <v>6.674672293e-12</v>
      </c>
      <c r="W70" s="14">
        <f t="shared" ref="W70:W101" si="29">(U70+V70)/((U70/$Q$1)+(V70/$Q$2))</f>
        <v>3.24526164517393</v>
      </c>
    </row>
    <row r="71" customHeight="1" spans="1:23">
      <c r="A71" s="2">
        <v>5.6</v>
      </c>
      <c r="B71" s="4" t="s">
        <v>175</v>
      </c>
      <c r="C71" s="4" t="s">
        <v>176</v>
      </c>
      <c r="D71" s="20"/>
      <c r="E71" s="3">
        <f t="shared" si="20"/>
        <v>35185837720.2057</v>
      </c>
      <c r="G71" s="31">
        <f t="shared" si="21"/>
        <v>-128.492909810743</v>
      </c>
      <c r="H71" s="6">
        <f t="shared" si="22"/>
        <v>-2.24262434166559</v>
      </c>
      <c r="I71" s="32"/>
      <c r="J71" s="2">
        <f t="shared" si="23"/>
        <v>224.262434166559</v>
      </c>
      <c r="K71" s="2">
        <f t="shared" si="24"/>
        <v>3.65105754971875</v>
      </c>
      <c r="L71" s="33"/>
      <c r="M71" s="9">
        <f t="shared" si="25"/>
        <v>6.07280537426172e-11</v>
      </c>
      <c r="N71" s="2">
        <f t="shared" si="26"/>
        <v>3.31451608823581</v>
      </c>
      <c r="O71" s="24"/>
      <c r="P71" s="10">
        <v>1.507087415</v>
      </c>
      <c r="Q71" s="10">
        <v>67.8739246</v>
      </c>
      <c r="R71" s="13">
        <f t="shared" si="27"/>
        <v>6.6720266949465e-12</v>
      </c>
      <c r="S71" s="13">
        <f t="shared" si="28"/>
        <v>1.31612277399337e-9</v>
      </c>
      <c r="U71" s="13">
        <v>5.784513723e-11</v>
      </c>
      <c r="V71" s="13">
        <v>6.672017512e-12</v>
      </c>
      <c r="W71" s="14">
        <f t="shared" si="29"/>
        <v>3.24554687192694</v>
      </c>
    </row>
    <row r="72" customHeight="1" spans="1:23">
      <c r="A72" s="2">
        <v>5.64</v>
      </c>
      <c r="B72" s="4" t="s">
        <v>177</v>
      </c>
      <c r="C72" s="4" t="s">
        <v>178</v>
      </c>
      <c r="D72" s="20"/>
      <c r="E72" s="3">
        <f t="shared" si="20"/>
        <v>35437165132.4929</v>
      </c>
      <c r="G72" s="31">
        <f t="shared" si="21"/>
        <v>-129.370499926466</v>
      </c>
      <c r="H72" s="6">
        <f t="shared" si="22"/>
        <v>-2.25794117866792</v>
      </c>
      <c r="I72" s="32"/>
      <c r="J72" s="2">
        <f t="shared" si="23"/>
        <v>225.794117866792</v>
      </c>
      <c r="K72" s="2">
        <f t="shared" si="24"/>
        <v>3.64878865704158</v>
      </c>
      <c r="L72" s="33"/>
      <c r="M72" s="9">
        <f t="shared" si="25"/>
        <v>6.09437580363376e-11</v>
      </c>
      <c r="N72" s="2">
        <f t="shared" si="26"/>
        <v>3.33810403674008</v>
      </c>
      <c r="O72" s="24"/>
      <c r="P72" s="10">
        <v>1.506511546</v>
      </c>
      <c r="Q72" s="10">
        <v>68.8739246</v>
      </c>
      <c r="R72" s="13">
        <f t="shared" si="27"/>
        <v>6.6694772652966e-12</v>
      </c>
      <c r="S72" s="13">
        <f t="shared" si="28"/>
        <v>1.33551347199337e-9</v>
      </c>
      <c r="U72" s="13">
        <v>5.7840707e-11</v>
      </c>
      <c r="V72" s="13">
        <v>6.66946809e-12</v>
      </c>
      <c r="W72" s="14">
        <f t="shared" si="29"/>
        <v>3.24577717926911</v>
      </c>
    </row>
    <row r="73" customHeight="1" spans="1:23">
      <c r="A73" s="2">
        <v>5.68</v>
      </c>
      <c r="B73" s="4" t="s">
        <v>179</v>
      </c>
      <c r="C73" s="4" t="s">
        <v>180</v>
      </c>
      <c r="D73" s="20"/>
      <c r="E73" s="3">
        <f t="shared" si="20"/>
        <v>35688492544.7801</v>
      </c>
      <c r="G73" s="31">
        <f t="shared" si="21"/>
        <v>-130.251789509831</v>
      </c>
      <c r="H73" s="6">
        <f t="shared" si="22"/>
        <v>-2.27332258356116</v>
      </c>
      <c r="I73" s="32"/>
      <c r="J73" s="2">
        <f t="shared" si="23"/>
        <v>227.332258356116</v>
      </c>
      <c r="K73" s="2">
        <f t="shared" si="24"/>
        <v>3.64675956171541</v>
      </c>
      <c r="L73" s="33"/>
      <c r="M73" s="9">
        <f t="shared" si="25"/>
        <v>6.12006655114244e-11</v>
      </c>
      <c r="N73" s="2">
        <f t="shared" si="26"/>
        <v>3.36630680838321</v>
      </c>
      <c r="O73" s="24"/>
      <c r="P73" s="10">
        <v>1.505902013</v>
      </c>
      <c r="Q73" s="10">
        <v>69.8739246</v>
      </c>
      <c r="R73" s="13">
        <f t="shared" si="27"/>
        <v>6.6667788017523e-12</v>
      </c>
      <c r="S73" s="13">
        <f t="shared" si="28"/>
        <v>1.35490416999337e-9</v>
      </c>
      <c r="U73" s="13">
        <v>5.783293462e-11</v>
      </c>
      <c r="V73" s="13">
        <v>6.666769627e-12</v>
      </c>
      <c r="W73" s="14">
        <f t="shared" si="29"/>
        <v>3.24598086928219</v>
      </c>
    </row>
    <row r="74" customHeight="1" spans="1:23">
      <c r="A74" s="2">
        <v>5.72</v>
      </c>
      <c r="B74" s="4" t="s">
        <v>181</v>
      </c>
      <c r="C74" s="4" t="s">
        <v>182</v>
      </c>
      <c r="D74" s="20"/>
      <c r="E74" s="3">
        <f t="shared" si="20"/>
        <v>35939819957.0672</v>
      </c>
      <c r="G74" s="31">
        <f t="shared" si="21"/>
        <v>-131.137017128495</v>
      </c>
      <c r="H74" s="6">
        <f t="shared" si="22"/>
        <v>-2.28877272013644</v>
      </c>
      <c r="I74" s="32"/>
      <c r="J74" s="2">
        <f t="shared" si="23"/>
        <v>228.877272013644</v>
      </c>
      <c r="K74" s="2">
        <f t="shared" si="24"/>
        <v>3.64497831150055</v>
      </c>
      <c r="L74" s="33"/>
      <c r="M74" s="9">
        <f t="shared" si="25"/>
        <v>6.1474140185008e-11</v>
      </c>
      <c r="N74" s="2">
        <f t="shared" si="26"/>
        <v>3.39645865375654</v>
      </c>
      <c r="O74" s="24"/>
      <c r="P74" s="10">
        <v>1.505299251</v>
      </c>
      <c r="Q74" s="10">
        <v>70.8739246</v>
      </c>
      <c r="R74" s="13">
        <f t="shared" si="27"/>
        <v>6.6641103141021e-12</v>
      </c>
      <c r="S74" s="13">
        <f t="shared" si="28"/>
        <v>1.37429486799337e-9</v>
      </c>
      <c r="U74" s="13">
        <v>5.782210289e-11</v>
      </c>
      <c r="V74" s="13">
        <v>6.664101142e-12</v>
      </c>
      <c r="W74" s="14">
        <f t="shared" si="29"/>
        <v>3.24614139584444</v>
      </c>
    </row>
    <row r="75" customHeight="1" spans="1:23">
      <c r="A75" s="2">
        <v>5.76</v>
      </c>
      <c r="B75" s="4" t="s">
        <v>183</v>
      </c>
      <c r="C75" s="4" t="s">
        <v>184</v>
      </c>
      <c r="D75" s="20"/>
      <c r="E75" s="3">
        <f t="shared" si="20"/>
        <v>36191147369.3544</v>
      </c>
      <c r="G75" s="31">
        <f t="shared" si="21"/>
        <v>-132.02641629087</v>
      </c>
      <c r="H75" s="6">
        <f t="shared" si="22"/>
        <v>-2.30429566388436</v>
      </c>
      <c r="I75" s="32"/>
      <c r="J75" s="2">
        <f t="shared" si="23"/>
        <v>230.429566388436</v>
      </c>
      <c r="K75" s="2">
        <f t="shared" si="24"/>
        <v>3.64345246243477</v>
      </c>
      <c r="L75" s="33"/>
      <c r="M75" s="9">
        <f t="shared" si="25"/>
        <v>6.17638307204952e-11</v>
      </c>
      <c r="N75" s="2">
        <f t="shared" si="26"/>
        <v>3.42854499895532</v>
      </c>
      <c r="O75" s="24"/>
      <c r="P75" s="10">
        <v>1.504440776</v>
      </c>
      <c r="Q75" s="10">
        <v>71.8739246</v>
      </c>
      <c r="R75" s="13">
        <f t="shared" si="27"/>
        <v>6.6603097594296e-12</v>
      </c>
      <c r="S75" s="13">
        <f t="shared" si="28"/>
        <v>1.39368556599337e-9</v>
      </c>
      <c r="U75" s="13">
        <v>5.780730094e-11</v>
      </c>
      <c r="V75" s="13">
        <v>6.660300596e-12</v>
      </c>
      <c r="W75" s="14">
        <f t="shared" si="29"/>
        <v>3.24637831201621</v>
      </c>
    </row>
    <row r="76" customHeight="1" spans="1:23">
      <c r="A76" s="2">
        <v>5.8</v>
      </c>
      <c r="B76" s="4" t="s">
        <v>185</v>
      </c>
      <c r="C76" s="4" t="s">
        <v>186</v>
      </c>
      <c r="D76" s="20"/>
      <c r="E76" s="3">
        <f t="shared" si="20"/>
        <v>36442474781.6416</v>
      </c>
      <c r="G76" s="31">
        <f t="shared" si="21"/>
        <v>-132.919794665971</v>
      </c>
      <c r="H76" s="6">
        <f t="shared" si="22"/>
        <v>-2.31988805799599</v>
      </c>
      <c r="I76" s="32"/>
      <c r="J76" s="2">
        <f t="shared" si="23"/>
        <v>231.988805799599</v>
      </c>
      <c r="K76" s="2">
        <f t="shared" si="24"/>
        <v>3.64216603981667</v>
      </c>
      <c r="L76" s="33"/>
      <c r="M76" s="9">
        <f t="shared" si="25"/>
        <v>6.20401649375724e-11</v>
      </c>
      <c r="N76" s="2">
        <f t="shared" si="26"/>
        <v>3.45929256421635</v>
      </c>
      <c r="O76" s="24"/>
      <c r="P76" s="10">
        <v>1.503517699</v>
      </c>
      <c r="Q76" s="10">
        <v>72.8739246</v>
      </c>
      <c r="R76" s="13">
        <f t="shared" si="27"/>
        <v>6.6562232052429e-12</v>
      </c>
      <c r="S76" s="13">
        <f t="shared" si="28"/>
        <v>1.41307626399337e-9</v>
      </c>
      <c r="U76" s="13">
        <v>5.778941425e-11</v>
      </c>
      <c r="V76" s="13">
        <v>6.656214046e-12</v>
      </c>
      <c r="W76" s="14">
        <f t="shared" si="29"/>
        <v>3.24660755693292</v>
      </c>
    </row>
    <row r="77" customHeight="1" spans="1:23">
      <c r="A77" s="2">
        <v>5.84</v>
      </c>
      <c r="B77" s="4" t="s">
        <v>187</v>
      </c>
      <c r="C77" s="4" t="s">
        <v>188</v>
      </c>
      <c r="D77" s="20"/>
      <c r="E77" s="3">
        <f t="shared" si="20"/>
        <v>36693802193.9288</v>
      </c>
      <c r="G77" s="31">
        <f t="shared" si="21"/>
        <v>-133.817392666449</v>
      </c>
      <c r="H77" s="6">
        <f t="shared" si="22"/>
        <v>-2.33555409846366</v>
      </c>
      <c r="I77" s="32"/>
      <c r="J77" s="2">
        <f t="shared" si="23"/>
        <v>233.555409846366</v>
      </c>
      <c r="K77" s="2">
        <f t="shared" si="24"/>
        <v>3.64112708753121</v>
      </c>
      <c r="L77" s="33"/>
      <c r="M77" s="9">
        <f t="shared" si="25"/>
        <v>6.23331944776498e-11</v>
      </c>
      <c r="N77" s="2">
        <f t="shared" si="26"/>
        <v>3.49204775809698</v>
      </c>
      <c r="O77" s="24"/>
      <c r="P77" s="10">
        <v>1.50253273</v>
      </c>
      <c r="Q77" s="10">
        <v>73.8739246</v>
      </c>
      <c r="R77" s="13">
        <f t="shared" si="27"/>
        <v>6.651862648983e-12</v>
      </c>
      <c r="S77" s="13">
        <f t="shared" si="28"/>
        <v>1.43246696199337e-9</v>
      </c>
      <c r="U77" s="13">
        <v>5.776819791e-11</v>
      </c>
      <c r="V77" s="13">
        <v>6.651853495e-12</v>
      </c>
      <c r="W77" s="14">
        <f t="shared" si="29"/>
        <v>3.24682460270869</v>
      </c>
    </row>
    <row r="78" customHeight="1" spans="1:23">
      <c r="A78" s="2">
        <v>5.88</v>
      </c>
      <c r="B78" s="4" t="s">
        <v>189</v>
      </c>
      <c r="C78" s="4" t="s">
        <v>190</v>
      </c>
      <c r="D78" s="20"/>
      <c r="E78" s="3">
        <f t="shared" si="20"/>
        <v>36945129606.216</v>
      </c>
      <c r="G78" s="31">
        <f t="shared" si="21"/>
        <v>-134.719445090112</v>
      </c>
      <c r="H78" s="6">
        <f t="shared" si="22"/>
        <v>-2.35129788328216</v>
      </c>
      <c r="I78" s="32"/>
      <c r="J78" s="2">
        <f t="shared" si="23"/>
        <v>235.129788328216</v>
      </c>
      <c r="K78" s="2">
        <f t="shared" si="24"/>
        <v>3.64034314368986</v>
      </c>
      <c r="L78" s="33"/>
      <c r="M78" s="9">
        <f t="shared" si="25"/>
        <v>6.26425294210151e-11</v>
      </c>
      <c r="N78" s="2">
        <f t="shared" si="26"/>
        <v>3.52679305673233</v>
      </c>
      <c r="O78" s="24"/>
      <c r="P78" s="10">
        <v>1.5014621</v>
      </c>
      <c r="Q78" s="10">
        <v>74.8739246</v>
      </c>
      <c r="R78" s="13">
        <f t="shared" si="27"/>
        <v>6.64712286291e-12</v>
      </c>
      <c r="S78" s="13">
        <f t="shared" si="28"/>
        <v>1.45185765999337e-9</v>
      </c>
      <c r="U78" s="13">
        <v>5.774372133e-11</v>
      </c>
      <c r="V78" s="13">
        <v>6.647113715e-12</v>
      </c>
      <c r="W78" s="14">
        <f t="shared" si="29"/>
        <v>3.24704229519931</v>
      </c>
    </row>
    <row r="79" customHeight="1" spans="1:23">
      <c r="A79" s="2">
        <v>5.92</v>
      </c>
      <c r="B79" s="4" t="s">
        <v>191</v>
      </c>
      <c r="C79" s="4" t="s">
        <v>192</v>
      </c>
      <c r="D79" s="20"/>
      <c r="E79" s="3">
        <f t="shared" si="20"/>
        <v>37196457018.5032</v>
      </c>
      <c r="G79" s="31">
        <f t="shared" si="21"/>
        <v>-135.626189517994</v>
      </c>
      <c r="H79" s="6">
        <f t="shared" si="22"/>
        <v>-2.36712355902281</v>
      </c>
      <c r="I79" s="32"/>
      <c r="J79" s="2">
        <f t="shared" si="23"/>
        <v>236.712355902281</v>
      </c>
      <c r="K79" s="2">
        <f t="shared" si="24"/>
        <v>3.63982171215986</v>
      </c>
      <c r="L79" s="33"/>
      <c r="M79" s="9">
        <f t="shared" si="25"/>
        <v>6.29683630473323e-11</v>
      </c>
      <c r="N79" s="2">
        <f t="shared" si="26"/>
        <v>3.56357753571135</v>
      </c>
      <c r="O79" s="24"/>
      <c r="P79" s="10">
        <v>1.500302081</v>
      </c>
      <c r="Q79" s="10">
        <v>75.8739246</v>
      </c>
      <c r="R79" s="13">
        <f t="shared" si="27"/>
        <v>6.6419873427951e-12</v>
      </c>
      <c r="S79" s="13">
        <f t="shared" si="28"/>
        <v>1.47124835799337e-9</v>
      </c>
      <c r="U79" s="13">
        <v>5.771591758e-11</v>
      </c>
      <c r="V79" s="13">
        <v>6.641978204e-12</v>
      </c>
      <c r="W79" s="14">
        <f t="shared" si="29"/>
        <v>3.24726167021859</v>
      </c>
    </row>
    <row r="80" customHeight="1" spans="1:23">
      <c r="A80" s="2">
        <v>5.96</v>
      </c>
      <c r="B80" s="4" t="s">
        <v>193</v>
      </c>
      <c r="C80" s="4" t="s">
        <v>194</v>
      </c>
      <c r="D80" s="20"/>
      <c r="E80" s="3">
        <f t="shared" si="20"/>
        <v>37447784430.7903</v>
      </c>
      <c r="G80" s="31">
        <f t="shared" si="21"/>
        <v>-136.537469924038</v>
      </c>
      <c r="H80" s="6">
        <f t="shared" si="22"/>
        <v>-2.38302840251719</v>
      </c>
      <c r="I80" s="32"/>
      <c r="J80" s="2">
        <f t="shared" si="23"/>
        <v>238.302840251719</v>
      </c>
      <c r="K80" s="2">
        <f t="shared" si="24"/>
        <v>3.63954913478098</v>
      </c>
      <c r="L80" s="33"/>
      <c r="M80" s="9">
        <f t="shared" si="25"/>
        <v>6.32833615308295e-11</v>
      </c>
      <c r="N80" s="2">
        <f t="shared" si="26"/>
        <v>3.59932022189076</v>
      </c>
      <c r="O80" s="24"/>
      <c r="P80" s="10">
        <v>1.49903316</v>
      </c>
      <c r="Q80" s="10">
        <v>76.8739246</v>
      </c>
      <c r="R80" s="13">
        <f t="shared" si="27"/>
        <v>6.636369702636e-12</v>
      </c>
      <c r="S80" s="13">
        <f t="shared" si="28"/>
        <v>1.49063905599337e-9</v>
      </c>
      <c r="U80" s="13">
        <v>5.768490691e-11</v>
      </c>
      <c r="V80" s="13">
        <v>6.636360572e-12</v>
      </c>
      <c r="W80" s="14">
        <f t="shared" si="29"/>
        <v>3.24749414178062</v>
      </c>
    </row>
    <row r="81" customHeight="1" spans="1:23">
      <c r="A81" s="2">
        <v>6</v>
      </c>
      <c r="B81" s="4" t="s">
        <v>195</v>
      </c>
      <c r="C81" s="4" t="s">
        <v>196</v>
      </c>
      <c r="D81" s="20"/>
      <c r="E81" s="3">
        <f t="shared" si="20"/>
        <v>37699111843.0775</v>
      </c>
      <c r="G81" s="31">
        <f t="shared" si="21"/>
        <v>-137.454367954793</v>
      </c>
      <c r="H81" s="6">
        <f t="shared" si="22"/>
        <v>-2.39903129205892</v>
      </c>
      <c r="I81" s="32"/>
      <c r="J81" s="2">
        <f t="shared" si="23"/>
        <v>239.903129205892</v>
      </c>
      <c r="K81" s="2">
        <f t="shared" si="24"/>
        <v>3.63957768760627</v>
      </c>
      <c r="L81" s="33"/>
      <c r="M81" s="9">
        <f t="shared" si="25"/>
        <v>6.36734743579973e-11</v>
      </c>
      <c r="N81" s="2">
        <f t="shared" si="26"/>
        <v>3.64383331017706</v>
      </c>
      <c r="O81" s="24"/>
      <c r="P81" s="10">
        <v>1.497688593</v>
      </c>
      <c r="Q81" s="10">
        <v>77.8739246</v>
      </c>
      <c r="R81" s="13">
        <f t="shared" si="27"/>
        <v>6.6304171700703e-12</v>
      </c>
      <c r="S81" s="13">
        <f t="shared" si="28"/>
        <v>1.51002975399337e-9</v>
      </c>
      <c r="U81" s="13">
        <v>5.76507607e-11</v>
      </c>
      <c r="V81" s="13">
        <v>6.630408046e-12</v>
      </c>
      <c r="W81" s="14">
        <f t="shared" si="29"/>
        <v>3.24772399043954</v>
      </c>
    </row>
    <row r="82" customHeight="1" spans="1:23">
      <c r="A82" s="2">
        <v>6.04</v>
      </c>
      <c r="B82" s="4" t="s">
        <v>197</v>
      </c>
      <c r="C82" s="4" t="s">
        <v>198</v>
      </c>
      <c r="D82" s="20"/>
      <c r="E82" s="3">
        <f t="shared" si="20"/>
        <v>37950439255.3647</v>
      </c>
      <c r="G82" s="31">
        <f t="shared" si="21"/>
        <v>-138.375908845296</v>
      </c>
      <c r="H82" s="6">
        <f t="shared" si="22"/>
        <v>-2.41511521478995</v>
      </c>
      <c r="I82" s="32"/>
      <c r="J82" s="2">
        <f t="shared" si="23"/>
        <v>241.511521478995</v>
      </c>
      <c r="K82" s="2">
        <f t="shared" si="24"/>
        <v>3.63985011051096</v>
      </c>
      <c r="L82" s="33"/>
      <c r="M82" s="9">
        <f t="shared" si="25"/>
        <v>6.39958951738153e-11</v>
      </c>
      <c r="N82" s="2">
        <f t="shared" si="26"/>
        <v>3.68082900532438</v>
      </c>
      <c r="O82" s="24"/>
      <c r="P82" s="10">
        <v>1.49625847</v>
      </c>
      <c r="Q82" s="10">
        <v>78.8739246</v>
      </c>
      <c r="R82" s="13">
        <f t="shared" si="27"/>
        <v>6.624085872537e-12</v>
      </c>
      <c r="S82" s="13">
        <f t="shared" si="28"/>
        <v>1.52942045199337e-9</v>
      </c>
      <c r="U82" s="13">
        <v>5.761353923e-11</v>
      </c>
      <c r="V82" s="13">
        <v>6.624076759e-12</v>
      </c>
      <c r="W82" s="14">
        <f t="shared" si="29"/>
        <v>3.24795702102841</v>
      </c>
    </row>
    <row r="83" customHeight="1" spans="1:23">
      <c r="A83" s="2">
        <v>6.08</v>
      </c>
      <c r="B83" s="4" t="s">
        <v>199</v>
      </c>
      <c r="C83" s="4" t="s">
        <v>200</v>
      </c>
      <c r="D83" s="20"/>
      <c r="E83" s="3">
        <f t="shared" si="20"/>
        <v>38201766667.6519</v>
      </c>
      <c r="G83" s="31">
        <f t="shared" si="21"/>
        <v>-139.303205308836</v>
      </c>
      <c r="H83" s="6">
        <f t="shared" si="22"/>
        <v>-2.43129959122083</v>
      </c>
      <c r="I83" s="32"/>
      <c r="J83" s="2">
        <f t="shared" si="23"/>
        <v>243.129959122083</v>
      </c>
      <c r="K83" s="2">
        <f t="shared" si="24"/>
        <v>3.64041977421712</v>
      </c>
      <c r="L83" s="33"/>
      <c r="M83" s="9">
        <f t="shared" si="25"/>
        <v>6.43955877458491e-11</v>
      </c>
      <c r="N83" s="2">
        <f t="shared" si="26"/>
        <v>3.72695053451156</v>
      </c>
      <c r="O83" s="24"/>
      <c r="P83" s="10">
        <v>1.494736887</v>
      </c>
      <c r="Q83" s="10">
        <v>79.8739246</v>
      </c>
      <c r="R83" s="13">
        <f t="shared" si="27"/>
        <v>6.6173496724377e-12</v>
      </c>
      <c r="S83" s="13">
        <f t="shared" si="28"/>
        <v>1.54881114999337e-9</v>
      </c>
      <c r="U83" s="13">
        <v>5.757326148e-11</v>
      </c>
      <c r="V83" s="13">
        <v>6.617340568e-12</v>
      </c>
      <c r="W83" s="14">
        <f t="shared" si="29"/>
        <v>3.24819650125591</v>
      </c>
    </row>
    <row r="84" customHeight="1" spans="1:23">
      <c r="A84" s="2">
        <v>6.12</v>
      </c>
      <c r="B84" s="4" t="s">
        <v>201</v>
      </c>
      <c r="C84" s="4" t="s">
        <v>202</v>
      </c>
      <c r="D84" s="20"/>
      <c r="E84" s="3">
        <f t="shared" si="20"/>
        <v>38453094079.9391</v>
      </c>
      <c r="G84" s="31">
        <f t="shared" si="21"/>
        <v>-140.23564449111</v>
      </c>
      <c r="H84" s="6">
        <f t="shared" si="22"/>
        <v>-2.44757372502612</v>
      </c>
      <c r="I84" s="32"/>
      <c r="J84" s="2">
        <f t="shared" si="23"/>
        <v>244.757372502612</v>
      </c>
      <c r="K84" s="2">
        <f t="shared" si="24"/>
        <v>3.64124909377369</v>
      </c>
      <c r="L84" s="33"/>
      <c r="M84" s="9">
        <f t="shared" si="25"/>
        <v>6.47527209912952e-11</v>
      </c>
      <c r="N84" s="2">
        <f t="shared" si="26"/>
        <v>3.76840395860679</v>
      </c>
      <c r="O84" s="24"/>
      <c r="P84" s="10">
        <v>1.493158757</v>
      </c>
      <c r="Q84" s="10">
        <v>80.8739246</v>
      </c>
      <c r="R84" s="13">
        <f t="shared" si="27"/>
        <v>6.6103631331147e-12</v>
      </c>
      <c r="S84" s="13">
        <f t="shared" si="28"/>
        <v>1.56820184799337e-9</v>
      </c>
      <c r="U84" s="13">
        <v>5.753009687e-11</v>
      </c>
      <c r="V84" s="13">
        <v>6.610354036e-12</v>
      </c>
      <c r="W84" s="14">
        <f t="shared" si="29"/>
        <v>3.24842710292504</v>
      </c>
    </row>
    <row r="85" customHeight="1" spans="1:23">
      <c r="A85" s="2">
        <v>6.16</v>
      </c>
      <c r="B85" s="4" t="s">
        <v>203</v>
      </c>
      <c r="C85" s="4" t="s">
        <v>204</v>
      </c>
      <c r="D85" s="20"/>
      <c r="E85" s="3">
        <f t="shared" si="20"/>
        <v>38704421492.2262</v>
      </c>
      <c r="G85" s="31">
        <f t="shared" si="21"/>
        <v>-141.173627146837</v>
      </c>
      <c r="H85" s="6">
        <f t="shared" si="22"/>
        <v>-2.46394461069515</v>
      </c>
      <c r="I85" s="32"/>
      <c r="J85" s="2">
        <f t="shared" si="23"/>
        <v>246.394461069515</v>
      </c>
      <c r="K85" s="2">
        <f t="shared" si="24"/>
        <v>3.64235377900785</v>
      </c>
      <c r="L85" s="33"/>
      <c r="M85" s="9">
        <f t="shared" si="25"/>
        <v>6.51376844254376e-11</v>
      </c>
      <c r="N85" s="2">
        <f t="shared" si="26"/>
        <v>3.81334446461704</v>
      </c>
      <c r="O85" s="24"/>
      <c r="P85" s="10">
        <v>1.491436682</v>
      </c>
      <c r="Q85" s="10">
        <v>81.8739246</v>
      </c>
      <c r="R85" s="13">
        <f t="shared" si="27"/>
        <v>6.6027393348822e-12</v>
      </c>
      <c r="S85" s="13">
        <f t="shared" si="28"/>
        <v>1.58759254599337e-9</v>
      </c>
      <c r="U85" s="13">
        <v>5.748416306e-11</v>
      </c>
      <c r="V85" s="13">
        <v>6.602730251e-12</v>
      </c>
      <c r="W85" s="14">
        <f t="shared" si="29"/>
        <v>3.24869447934</v>
      </c>
    </row>
    <row r="86" customHeight="1" spans="1:23">
      <c r="A86" s="2">
        <v>6.2</v>
      </c>
      <c r="B86" s="4" t="s">
        <v>205</v>
      </c>
      <c r="C86" s="4" t="s">
        <v>206</v>
      </c>
      <c r="D86" s="20"/>
      <c r="E86" s="3">
        <f t="shared" si="20"/>
        <v>38955748904.5134</v>
      </c>
      <c r="G86" s="31">
        <f t="shared" si="21"/>
        <v>-142.117349917772</v>
      </c>
      <c r="H86" s="6">
        <f t="shared" si="22"/>
        <v>-2.48041568027401</v>
      </c>
      <c r="I86" s="32"/>
      <c r="J86" s="2">
        <f t="shared" si="23"/>
        <v>248.041568027401</v>
      </c>
      <c r="K86" s="2">
        <f t="shared" si="24"/>
        <v>3.64373870959009</v>
      </c>
      <c r="L86" s="33"/>
      <c r="M86" s="9">
        <f t="shared" si="25"/>
        <v>6.55363035371351e-11</v>
      </c>
      <c r="N86" s="2">
        <f t="shared" si="26"/>
        <v>3.86015985704002</v>
      </c>
      <c r="O86" s="24"/>
      <c r="P86" s="10">
        <v>1.489673594</v>
      </c>
      <c r="Q86" s="10">
        <v>82.8739246</v>
      </c>
      <c r="R86" s="13">
        <f t="shared" si="27"/>
        <v>6.5949339679974e-12</v>
      </c>
      <c r="S86" s="13">
        <f t="shared" si="28"/>
        <v>1.60698324399337e-9</v>
      </c>
      <c r="U86" s="13">
        <v>5.74355573e-11</v>
      </c>
      <c r="V86" s="13">
        <v>6.594924895e-12</v>
      </c>
      <c r="W86" s="14">
        <f t="shared" si="29"/>
        <v>3.24894805729973</v>
      </c>
    </row>
    <row r="87" customHeight="1" spans="1:23">
      <c r="A87" s="2">
        <v>6.24</v>
      </c>
      <c r="B87" s="4" t="s">
        <v>207</v>
      </c>
      <c r="C87" s="4" t="s">
        <v>208</v>
      </c>
      <c r="D87" s="20"/>
      <c r="E87" s="3">
        <f t="shared" si="20"/>
        <v>39207076316.8006</v>
      </c>
      <c r="G87" s="31">
        <f t="shared" si="21"/>
        <v>-143.066716111954</v>
      </c>
      <c r="H87" s="6">
        <f t="shared" si="22"/>
        <v>-2.49698524616962</v>
      </c>
      <c r="I87" s="32"/>
      <c r="J87" s="2">
        <f t="shared" si="23"/>
        <v>249.698524616962</v>
      </c>
      <c r="K87" s="2">
        <f t="shared" si="24"/>
        <v>3.64539373027819</v>
      </c>
      <c r="L87" s="33"/>
      <c r="M87" s="9">
        <f t="shared" si="25"/>
        <v>6.59282079293616e-11</v>
      </c>
      <c r="N87" s="2">
        <f t="shared" si="26"/>
        <v>3.90646508947615</v>
      </c>
      <c r="O87" s="24"/>
      <c r="P87" s="10">
        <v>1.487838836</v>
      </c>
      <c r="Q87" s="10">
        <v>83.8739246</v>
      </c>
      <c r="R87" s="13">
        <f t="shared" si="27"/>
        <v>6.5868113108556e-12</v>
      </c>
      <c r="S87" s="13">
        <f t="shared" si="28"/>
        <v>1.62637394199337e-9</v>
      </c>
      <c r="U87" s="13">
        <v>5.738441215e-11</v>
      </c>
      <c r="V87" s="13">
        <v>6.586802245e-12</v>
      </c>
      <c r="W87" s="14">
        <f t="shared" si="29"/>
        <v>3.24920507093187</v>
      </c>
    </row>
    <row r="88" customHeight="1" spans="1:23">
      <c r="A88" s="2">
        <v>6.28</v>
      </c>
      <c r="B88" s="4" t="s">
        <v>209</v>
      </c>
      <c r="C88" s="4" t="s">
        <v>210</v>
      </c>
      <c r="D88" s="20"/>
      <c r="E88" s="3">
        <f t="shared" si="20"/>
        <v>39458403729.0878</v>
      </c>
      <c r="G88" s="31">
        <f t="shared" si="21"/>
        <v>-144.022453764047</v>
      </c>
      <c r="H88" s="6">
        <f t="shared" si="22"/>
        <v>-2.51366601498391</v>
      </c>
      <c r="I88" s="32"/>
      <c r="J88" s="2">
        <f t="shared" si="23"/>
        <v>251.366601498391</v>
      </c>
      <c r="K88" s="2">
        <f t="shared" si="24"/>
        <v>3.64735074214903</v>
      </c>
      <c r="L88" s="33"/>
      <c r="M88" s="9">
        <f t="shared" si="25"/>
        <v>6.6370670284181e-11</v>
      </c>
      <c r="N88" s="2">
        <f t="shared" si="26"/>
        <v>3.95907576690868</v>
      </c>
      <c r="O88" s="24"/>
      <c r="P88" s="10">
        <v>1.485934875</v>
      </c>
      <c r="Q88" s="10">
        <v>84.8739246</v>
      </c>
      <c r="R88" s="13">
        <f t="shared" si="27"/>
        <v>6.5783822851125e-12</v>
      </c>
      <c r="S88" s="13">
        <f t="shared" si="28"/>
        <v>1.64576463999337e-9</v>
      </c>
      <c r="U88" s="13">
        <v>5.733085953e-11</v>
      </c>
      <c r="V88" s="13">
        <v>6.578373234e-12</v>
      </c>
      <c r="W88" s="14">
        <f t="shared" si="29"/>
        <v>3.24946604661424</v>
      </c>
    </row>
    <row r="89" customHeight="1" spans="1:23">
      <c r="A89" s="2">
        <v>6.32</v>
      </c>
      <c r="B89" s="4" t="s">
        <v>211</v>
      </c>
      <c r="C89" s="4" t="s">
        <v>212</v>
      </c>
      <c r="D89" s="20"/>
      <c r="E89" s="3">
        <f t="shared" si="20"/>
        <v>39709731141.375</v>
      </c>
      <c r="G89" s="31">
        <f t="shared" si="21"/>
        <v>-144.984031743329</v>
      </c>
      <c r="H89" s="6">
        <f t="shared" si="22"/>
        <v>-2.53044871673706</v>
      </c>
      <c r="I89" s="32"/>
      <c r="J89" s="2">
        <f t="shared" si="23"/>
        <v>253.044871673706</v>
      </c>
      <c r="K89" s="2">
        <f t="shared" si="24"/>
        <v>3.64957751964353</v>
      </c>
      <c r="L89" s="33"/>
      <c r="M89" s="9">
        <f t="shared" si="25"/>
        <v>6.67762485612594e-11</v>
      </c>
      <c r="N89" s="2">
        <f t="shared" si="26"/>
        <v>4.00760989284506</v>
      </c>
      <c r="O89" s="24"/>
      <c r="P89" s="10">
        <v>1.483966392</v>
      </c>
      <c r="Q89" s="10">
        <v>85.8739246</v>
      </c>
      <c r="R89" s="13">
        <f t="shared" si="27"/>
        <v>6.5696676140232e-12</v>
      </c>
      <c r="S89" s="13">
        <f t="shared" si="28"/>
        <v>1.66515533799337e-9</v>
      </c>
      <c r="U89" s="13">
        <v>5.727505046e-11</v>
      </c>
      <c r="V89" s="13">
        <v>6.569658573e-12</v>
      </c>
      <c r="W89" s="14">
        <f t="shared" si="29"/>
        <v>3.24973064293594</v>
      </c>
    </row>
    <row r="90" customHeight="1" spans="1:23">
      <c r="A90" s="2">
        <v>6.36</v>
      </c>
      <c r="B90" s="4" t="s">
        <v>213</v>
      </c>
      <c r="C90" s="4" t="s">
        <v>214</v>
      </c>
      <c r="D90" s="20"/>
      <c r="E90" s="3">
        <f t="shared" si="20"/>
        <v>39961058553.6622</v>
      </c>
      <c r="G90" s="31">
        <f t="shared" si="21"/>
        <v>-145.952193690099</v>
      </c>
      <c r="H90" s="6">
        <f t="shared" si="22"/>
        <v>-2.54734633040072</v>
      </c>
      <c r="I90" s="32"/>
      <c r="J90" s="2">
        <f t="shared" si="23"/>
        <v>254.734633040072</v>
      </c>
      <c r="K90" s="2">
        <f t="shared" si="24"/>
        <v>3.65210644294413</v>
      </c>
      <c r="L90" s="33"/>
      <c r="M90" s="9">
        <f t="shared" si="25"/>
        <v>6.72334685257244e-11</v>
      </c>
      <c r="N90" s="2">
        <f t="shared" si="26"/>
        <v>4.06267834653463</v>
      </c>
      <c r="O90" s="24"/>
      <c r="P90" s="10">
        <v>1.481935812</v>
      </c>
      <c r="Q90" s="10">
        <v>86.8739246</v>
      </c>
      <c r="R90" s="13">
        <f t="shared" si="27"/>
        <v>6.5606780333052e-12</v>
      </c>
      <c r="S90" s="13">
        <f t="shared" si="28"/>
        <v>1.68454603599337e-9</v>
      </c>
      <c r="U90" s="13">
        <v>5.721713316e-11</v>
      </c>
      <c r="V90" s="13">
        <v>6.560669006e-12</v>
      </c>
      <c r="W90" s="14">
        <f t="shared" si="29"/>
        <v>3.24999962091629</v>
      </c>
    </row>
    <row r="91" customHeight="1" spans="1:23">
      <c r="A91" s="2">
        <v>6.4</v>
      </c>
      <c r="B91" s="4" t="s">
        <v>215</v>
      </c>
      <c r="C91" s="4" t="s">
        <v>216</v>
      </c>
      <c r="D91" s="20"/>
      <c r="E91" s="3">
        <f t="shared" si="20"/>
        <v>40212385965.9493</v>
      </c>
      <c r="G91" s="31">
        <f t="shared" si="21"/>
        <v>-146.92610225496</v>
      </c>
      <c r="H91" s="6">
        <f t="shared" si="22"/>
        <v>-2.56434424147091</v>
      </c>
      <c r="I91" s="32"/>
      <c r="J91" s="2">
        <f t="shared" si="23"/>
        <v>256.434424147091</v>
      </c>
      <c r="K91" s="2">
        <f t="shared" si="24"/>
        <v>3.65489051100853</v>
      </c>
      <c r="L91" s="33"/>
      <c r="M91" s="9">
        <f t="shared" si="25"/>
        <v>6.76325392264377e-11</v>
      </c>
      <c r="N91" s="2">
        <f t="shared" si="26"/>
        <v>4.11105031391399</v>
      </c>
      <c r="O91" s="24"/>
      <c r="P91" s="10">
        <v>1.480161526</v>
      </c>
      <c r="Q91" s="10">
        <v>87.8739246</v>
      </c>
      <c r="R91" s="13">
        <f t="shared" si="27"/>
        <v>6.5528230917546e-12</v>
      </c>
      <c r="S91" s="13">
        <f t="shared" si="28"/>
        <v>1.70393673399337e-9</v>
      </c>
      <c r="U91" s="13">
        <v>5.715725219e-11</v>
      </c>
      <c r="V91" s="13">
        <v>6.552814076e-12</v>
      </c>
      <c r="W91" s="14">
        <f t="shared" si="29"/>
        <v>3.25011311922424</v>
      </c>
    </row>
    <row r="92" customHeight="1" spans="1:23">
      <c r="A92" s="2">
        <v>6.44</v>
      </c>
      <c r="B92" s="4" t="s">
        <v>217</v>
      </c>
      <c r="C92" s="4" t="s">
        <v>218</v>
      </c>
      <c r="D92" s="20"/>
      <c r="E92" s="3">
        <f t="shared" si="20"/>
        <v>40463713378.2365</v>
      </c>
      <c r="G92" s="31">
        <f t="shared" si="21"/>
        <v>-147.906846431091</v>
      </c>
      <c r="H92" s="6">
        <f t="shared" si="22"/>
        <v>-2.58146145646417</v>
      </c>
      <c r="I92" s="32"/>
      <c r="J92" s="2">
        <f t="shared" si="23"/>
        <v>258.146145646417</v>
      </c>
      <c r="K92" s="2">
        <f t="shared" si="24"/>
        <v>3.65797913942664</v>
      </c>
      <c r="L92" s="33"/>
      <c r="M92" s="9">
        <f t="shared" si="25"/>
        <v>6.81072344535857e-11</v>
      </c>
      <c r="N92" s="2">
        <f t="shared" si="26"/>
        <v>4.16896162425768</v>
      </c>
      <c r="O92" s="24"/>
      <c r="P92" s="10">
        <v>1.477710244</v>
      </c>
      <c r="Q92" s="10">
        <v>88.8739246</v>
      </c>
      <c r="R92" s="13">
        <f t="shared" si="27"/>
        <v>6.5419710212124e-12</v>
      </c>
      <c r="S92" s="13">
        <f t="shared" si="28"/>
        <v>1.72332743199337e-9</v>
      </c>
      <c r="U92" s="13">
        <v>5.709557385e-11</v>
      </c>
      <c r="V92" s="13">
        <v>6.541962021e-12</v>
      </c>
      <c r="W92" s="14">
        <f t="shared" si="29"/>
        <v>3.25054767440173</v>
      </c>
    </row>
    <row r="93" customHeight="1" spans="1:23">
      <c r="A93" s="2">
        <v>6.48</v>
      </c>
      <c r="B93" s="4" t="s">
        <v>219</v>
      </c>
      <c r="C93" s="4" t="s">
        <v>220</v>
      </c>
      <c r="D93" s="20"/>
      <c r="E93" s="3">
        <f t="shared" si="20"/>
        <v>40715040790.5237</v>
      </c>
      <c r="G93" s="31">
        <f t="shared" si="21"/>
        <v>-148.893418665796</v>
      </c>
      <c r="H93" s="6">
        <f t="shared" si="22"/>
        <v>-2.59868039026853</v>
      </c>
      <c r="I93" s="32"/>
      <c r="J93" s="2">
        <f t="shared" si="23"/>
        <v>259.868039026853</v>
      </c>
      <c r="K93" s="2">
        <f t="shared" si="24"/>
        <v>3.66131753760218</v>
      </c>
      <c r="L93" s="33"/>
      <c r="M93" s="9">
        <f t="shared" si="25"/>
        <v>6.85119607433869e-11</v>
      </c>
      <c r="N93" s="2">
        <f t="shared" si="26"/>
        <v>4.21865683587149</v>
      </c>
      <c r="O93" s="24"/>
      <c r="P93" s="10">
        <v>1.475514908</v>
      </c>
      <c r="Q93" s="10">
        <v>89.8739246</v>
      </c>
      <c r="R93" s="13">
        <f t="shared" si="27"/>
        <v>6.5322520492068e-12</v>
      </c>
      <c r="S93" s="13">
        <f t="shared" si="28"/>
        <v>1.74271812999337e-9</v>
      </c>
      <c r="U93" s="13">
        <v>5.703223085e-11</v>
      </c>
      <c r="V93" s="13">
        <v>6.532243062e-12</v>
      </c>
      <c r="W93" s="14">
        <f t="shared" si="29"/>
        <v>3.25083095064423</v>
      </c>
    </row>
    <row r="94" customHeight="1" spans="1:23">
      <c r="A94" s="2">
        <v>6.52</v>
      </c>
      <c r="B94" s="4" t="s">
        <v>221</v>
      </c>
      <c r="C94" s="4" t="s">
        <v>222</v>
      </c>
      <c r="D94" s="20"/>
      <c r="E94" s="3">
        <f t="shared" si="20"/>
        <v>40966368202.8109</v>
      </c>
      <c r="G94" s="31">
        <f t="shared" si="21"/>
        <v>-149.887074101473</v>
      </c>
      <c r="H94" s="6">
        <f t="shared" si="22"/>
        <v>-2.61602294925143</v>
      </c>
      <c r="I94" s="32"/>
      <c r="J94" s="2">
        <f t="shared" si="23"/>
        <v>261.602294925143</v>
      </c>
      <c r="K94" s="2">
        <f t="shared" si="24"/>
        <v>3.66496285010432</v>
      </c>
      <c r="L94" s="33"/>
      <c r="M94" s="9">
        <f t="shared" si="25"/>
        <v>6.90038496997928e-11</v>
      </c>
      <c r="N94" s="2">
        <f t="shared" si="26"/>
        <v>4.27945089067801</v>
      </c>
      <c r="O94" s="24"/>
      <c r="P94" s="10">
        <v>1.473273606</v>
      </c>
      <c r="Q94" s="10">
        <v>90.8739246</v>
      </c>
      <c r="R94" s="13">
        <f t="shared" si="27"/>
        <v>6.5223295811226e-12</v>
      </c>
      <c r="S94" s="13">
        <f t="shared" si="28"/>
        <v>1.76210882799337e-9</v>
      </c>
      <c r="U94" s="13">
        <v>5.696740094e-11</v>
      </c>
      <c r="V94" s="13">
        <v>6.522320606e-12</v>
      </c>
      <c r="W94" s="14">
        <f t="shared" si="29"/>
        <v>3.25111876197179</v>
      </c>
    </row>
    <row r="95" customHeight="1" spans="1:23">
      <c r="A95" s="2">
        <v>6.56</v>
      </c>
      <c r="B95" s="4" t="s">
        <v>223</v>
      </c>
      <c r="C95" s="4" t="s">
        <v>224</v>
      </c>
      <c r="D95" s="20"/>
      <c r="E95" s="3">
        <f t="shared" si="20"/>
        <v>41217695615.0981</v>
      </c>
      <c r="G95" s="31">
        <f t="shared" si="21"/>
        <v>-150.887307156934</v>
      </c>
      <c r="H95" s="6">
        <f t="shared" si="22"/>
        <v>-2.63348030935651</v>
      </c>
      <c r="I95" s="32"/>
      <c r="J95" s="2">
        <f t="shared" si="23"/>
        <v>263.348030935651</v>
      </c>
      <c r="K95" s="2">
        <f t="shared" si="24"/>
        <v>3.66888535626891</v>
      </c>
      <c r="L95" s="33"/>
      <c r="M95" s="9">
        <f t="shared" si="25"/>
        <v>6.94606288514761e-11</v>
      </c>
      <c r="N95" s="2">
        <f t="shared" si="26"/>
        <v>4.33629507695815</v>
      </c>
      <c r="O95" s="24"/>
      <c r="P95" s="10">
        <v>1.470990659</v>
      </c>
      <c r="Q95" s="10">
        <v>91.8739246</v>
      </c>
      <c r="R95" s="13">
        <f t="shared" si="27"/>
        <v>6.5122227464589e-12</v>
      </c>
      <c r="S95" s="13">
        <f t="shared" si="28"/>
        <v>1.78149952599337e-9</v>
      </c>
      <c r="U95" s="13">
        <v>5.690124446e-11</v>
      </c>
      <c r="V95" s="13">
        <v>6.512213786e-12</v>
      </c>
      <c r="W95" s="14">
        <f t="shared" si="29"/>
        <v>3.25141105934394</v>
      </c>
    </row>
    <row r="96" customHeight="1" spans="1:23">
      <c r="A96" s="2">
        <v>6.6</v>
      </c>
      <c r="B96" s="4" t="s">
        <v>225</v>
      </c>
      <c r="C96" s="4" t="s">
        <v>226</v>
      </c>
      <c r="D96" s="20"/>
      <c r="E96" s="3">
        <f t="shared" si="20"/>
        <v>41469023027.3853</v>
      </c>
      <c r="G96" s="31">
        <f t="shared" si="21"/>
        <v>-151.894359809623</v>
      </c>
      <c r="H96" s="6">
        <f t="shared" si="22"/>
        <v>-2.65105669388688</v>
      </c>
      <c r="I96" s="32"/>
      <c r="J96" s="2">
        <f t="shared" si="23"/>
        <v>265.105669388688</v>
      </c>
      <c r="K96" s="2">
        <f t="shared" si="24"/>
        <v>3.67309219091526</v>
      </c>
      <c r="L96" s="33"/>
      <c r="M96" s="9">
        <f t="shared" si="25"/>
        <v>6.99342119922939e-11</v>
      </c>
      <c r="N96" s="2">
        <f t="shared" si="26"/>
        <v>4.39562644191106</v>
      </c>
      <c r="O96" s="24"/>
      <c r="P96" s="10">
        <v>1.468670723</v>
      </c>
      <c r="Q96" s="10">
        <v>92.8739246</v>
      </c>
      <c r="R96" s="13">
        <f t="shared" si="27"/>
        <v>6.5019521577933e-12</v>
      </c>
      <c r="S96" s="13">
        <f t="shared" si="28"/>
        <v>1.80089022399337e-9</v>
      </c>
      <c r="U96" s="13">
        <v>5.6833927e-11</v>
      </c>
      <c r="V96" s="13">
        <v>6.501943212e-12</v>
      </c>
      <c r="W96" s="14">
        <f t="shared" si="29"/>
        <v>3.25170768950808</v>
      </c>
    </row>
    <row r="97" customHeight="1" spans="1:23">
      <c r="A97" s="2">
        <v>6.64</v>
      </c>
      <c r="B97" s="4" t="s">
        <v>227</v>
      </c>
      <c r="C97" s="4" t="s">
        <v>228</v>
      </c>
      <c r="D97" s="20"/>
      <c r="E97" s="3">
        <f t="shared" si="20"/>
        <v>41720350439.6725</v>
      </c>
      <c r="G97" s="31">
        <f t="shared" si="21"/>
        <v>-152.908063265807</v>
      </c>
      <c r="H97" s="6">
        <f t="shared" si="22"/>
        <v>-2.66874915683613</v>
      </c>
      <c r="I97" s="32"/>
      <c r="J97" s="2">
        <f t="shared" si="23"/>
        <v>266.874915683613</v>
      </c>
      <c r="K97" s="2">
        <f t="shared" si="24"/>
        <v>3.67757061601492</v>
      </c>
      <c r="L97" s="33"/>
      <c r="M97" s="9">
        <f t="shared" si="25"/>
        <v>7.03960733461073e-11</v>
      </c>
      <c r="N97" s="2">
        <f t="shared" si="26"/>
        <v>4.45387758315245</v>
      </c>
      <c r="O97" s="24"/>
      <c r="P97" s="10">
        <v>1.466317219</v>
      </c>
      <c r="Q97" s="10">
        <v>93.8739246</v>
      </c>
      <c r="R97" s="13">
        <f t="shared" si="27"/>
        <v>6.4915329602349e-12</v>
      </c>
      <c r="S97" s="13">
        <f t="shared" si="28"/>
        <v>1.82028092199337e-9</v>
      </c>
      <c r="U97" s="13">
        <v>5.676560425e-11</v>
      </c>
      <c r="V97" s="13">
        <v>6.491524027e-12</v>
      </c>
      <c r="W97" s="14">
        <f t="shared" si="29"/>
        <v>3.2520089973136</v>
      </c>
    </row>
    <row r="98" customHeight="1" spans="1:23">
      <c r="A98" s="2">
        <v>6.68</v>
      </c>
      <c r="B98" s="4" t="s">
        <v>229</v>
      </c>
      <c r="C98" s="4" t="s">
        <v>230</v>
      </c>
      <c r="D98" s="20"/>
      <c r="E98" s="3">
        <f t="shared" si="20"/>
        <v>41971677851.9596</v>
      </c>
      <c r="G98" s="31">
        <f t="shared" si="21"/>
        <v>-153.928147877172</v>
      </c>
      <c r="H98" s="6">
        <f t="shared" si="22"/>
        <v>-2.68655299195337</v>
      </c>
      <c r="I98" s="32"/>
      <c r="J98" s="2">
        <f t="shared" si="23"/>
        <v>268.655299195337</v>
      </c>
      <c r="K98" s="2">
        <f t="shared" si="24"/>
        <v>3.68230338346131</v>
      </c>
      <c r="L98" s="33"/>
      <c r="M98" s="9">
        <f t="shared" si="25"/>
        <v>7.08392091225331e-11</v>
      </c>
      <c r="N98" s="2">
        <f t="shared" si="26"/>
        <v>4.51012744016268</v>
      </c>
      <c r="O98" s="24"/>
      <c r="P98" s="10">
        <v>1.463930221</v>
      </c>
      <c r="Q98" s="10">
        <v>94.8739246</v>
      </c>
      <c r="R98" s="13">
        <f t="shared" si="27"/>
        <v>6.4809654813891e-12</v>
      </c>
      <c r="S98" s="13">
        <f t="shared" si="28"/>
        <v>1.83967161999337e-9</v>
      </c>
      <c r="U98" s="13">
        <v>5.669643476e-11</v>
      </c>
      <c r="V98" s="13">
        <v>6.480956564e-12</v>
      </c>
      <c r="W98" s="14">
        <f t="shared" si="29"/>
        <v>3.25231708195277</v>
      </c>
    </row>
    <row r="99" customHeight="1" spans="1:23">
      <c r="A99" s="2">
        <v>6.72</v>
      </c>
      <c r="B99" s="4" t="s">
        <v>231</v>
      </c>
      <c r="C99" s="4" t="s">
        <v>232</v>
      </c>
      <c r="D99" s="20"/>
      <c r="E99" s="3">
        <f t="shared" si="20"/>
        <v>42223005264.2468</v>
      </c>
      <c r="G99" s="31">
        <f t="shared" si="21"/>
        <v>-154.955693392059</v>
      </c>
      <c r="H99" s="6">
        <f t="shared" si="22"/>
        <v>-2.70448704440225</v>
      </c>
      <c r="I99" s="32"/>
      <c r="J99" s="2">
        <f t="shared" si="23"/>
        <v>270.448704440225</v>
      </c>
      <c r="K99" s="2">
        <f t="shared" si="24"/>
        <v>3.6873378696599</v>
      </c>
      <c r="L99" s="33"/>
      <c r="M99" s="9">
        <f t="shared" si="25"/>
        <v>7.13573274227144e-11</v>
      </c>
      <c r="N99" s="2">
        <f t="shared" si="26"/>
        <v>4.57634289344528</v>
      </c>
      <c r="O99" s="24"/>
      <c r="P99" s="10">
        <v>1.461516109</v>
      </c>
      <c r="Q99" s="10">
        <v>95.8739246</v>
      </c>
      <c r="R99" s="13">
        <f t="shared" si="27"/>
        <v>6.4702779661539e-12</v>
      </c>
      <c r="S99" s="13">
        <f t="shared" si="28"/>
        <v>1.85906231799337e-9</v>
      </c>
      <c r="U99" s="13">
        <v>5.662657767e-11</v>
      </c>
      <c r="V99" s="13">
        <v>6.470269063e-12</v>
      </c>
      <c r="W99" s="14">
        <f t="shared" si="29"/>
        <v>3.25263081955402</v>
      </c>
    </row>
    <row r="100" customHeight="1" spans="1:23">
      <c r="A100" s="2">
        <v>6.76</v>
      </c>
      <c r="B100" s="4" t="s">
        <v>233</v>
      </c>
      <c r="C100" s="4" t="s">
        <v>234</v>
      </c>
      <c r="D100" s="20"/>
      <c r="E100" s="3">
        <f t="shared" si="20"/>
        <v>42474332676.534</v>
      </c>
      <c r="G100" s="31">
        <f t="shared" si="21"/>
        <v>-155.989675019652</v>
      </c>
      <c r="H100" s="6">
        <f t="shared" si="22"/>
        <v>-2.72253342820889</v>
      </c>
      <c r="I100" s="32"/>
      <c r="J100" s="2">
        <f t="shared" si="23"/>
        <v>272.253342820889</v>
      </c>
      <c r="K100" s="2">
        <f t="shared" si="24"/>
        <v>3.69262086236091</v>
      </c>
      <c r="L100" s="33"/>
      <c r="M100" s="9">
        <f t="shared" si="25"/>
        <v>7.18042796939917e-11</v>
      </c>
      <c r="N100" s="2">
        <f t="shared" si="26"/>
        <v>4.63385100672168</v>
      </c>
      <c r="O100" s="24"/>
      <c r="P100" s="10">
        <v>1.459078757</v>
      </c>
      <c r="Q100" s="10">
        <v>96.8739246</v>
      </c>
      <c r="R100" s="13">
        <f t="shared" si="27"/>
        <v>6.4594875651147e-12</v>
      </c>
      <c r="S100" s="13">
        <f t="shared" si="28"/>
        <v>1.87845301599337e-9</v>
      </c>
      <c r="U100" s="13">
        <v>5.655619019e-11</v>
      </c>
      <c r="V100" s="13">
        <v>6.459478676e-12</v>
      </c>
      <c r="W100" s="14">
        <f t="shared" si="29"/>
        <v>3.25295034034328</v>
      </c>
    </row>
    <row r="101" customHeight="1" spans="1:23">
      <c r="A101" s="2">
        <v>6.8</v>
      </c>
      <c r="B101" s="4" t="s">
        <v>235</v>
      </c>
      <c r="C101" s="4" t="s">
        <v>236</v>
      </c>
      <c r="D101" s="20"/>
      <c r="E101" s="3">
        <f t="shared" si="20"/>
        <v>42725660088.8212</v>
      </c>
      <c r="G101" s="31">
        <f t="shared" si="21"/>
        <v>-157.030943669014</v>
      </c>
      <c r="H101" s="6">
        <f t="shared" si="22"/>
        <v>-2.74070699453805</v>
      </c>
      <c r="I101" s="32"/>
      <c r="J101" s="2">
        <f t="shared" si="23"/>
        <v>274.070699453805</v>
      </c>
      <c r="K101" s="2">
        <f t="shared" si="24"/>
        <v>3.69818863855833</v>
      </c>
      <c r="L101" s="33"/>
      <c r="M101" s="9">
        <f t="shared" si="25"/>
        <v>7.2310322872352e-11</v>
      </c>
      <c r="N101" s="2">
        <f t="shared" si="26"/>
        <v>4.699395614511</v>
      </c>
      <c r="O101" s="24"/>
      <c r="P101" s="10">
        <v>1.456621888</v>
      </c>
      <c r="Q101" s="10">
        <v>97.8739246</v>
      </c>
      <c r="R101" s="13">
        <f t="shared" si="27"/>
        <v>6.4486107603648e-12</v>
      </c>
      <c r="S101" s="13">
        <f t="shared" si="28"/>
        <v>1.89784371399337e-9</v>
      </c>
      <c r="U101" s="13">
        <v>5.648541993e-11</v>
      </c>
      <c r="V101" s="13">
        <v>6.448601888e-12</v>
      </c>
      <c r="W101" s="14">
        <f t="shared" si="29"/>
        <v>3.25327572222817</v>
      </c>
    </row>
    <row r="102" customHeight="1" spans="1:23">
      <c r="A102" s="2">
        <v>6.84</v>
      </c>
      <c r="B102" s="4" t="s">
        <v>237</v>
      </c>
      <c r="C102" s="4" t="s">
        <v>238</v>
      </c>
      <c r="D102" s="20"/>
      <c r="E102" s="3">
        <f t="shared" si="20"/>
        <v>42976987501.1084</v>
      </c>
      <c r="G102" s="31">
        <f t="shared" si="21"/>
        <v>-158.078736916934</v>
      </c>
      <c r="H102" s="6">
        <f t="shared" ref="H102:H133" si="30">G102/180*PI()</f>
        <v>-2.7589944365944</v>
      </c>
      <c r="I102" s="32"/>
      <c r="J102" s="2">
        <f t="shared" si="23"/>
        <v>275.89944365944</v>
      </c>
      <c r="K102" s="2">
        <f t="shared" ref="K102:K133" si="31">($B$1/E102*J102)^2</f>
        <v>3.70400116992275</v>
      </c>
      <c r="L102" s="33"/>
      <c r="M102" s="9">
        <f t="shared" si="25"/>
        <v>7.2763419994386e-11</v>
      </c>
      <c r="N102" s="2">
        <f t="shared" ref="N102:N133" si="32">($B$1*M102/$B$2)^2</f>
        <v>4.75847303514112</v>
      </c>
      <c r="O102" s="24"/>
      <c r="P102" s="10">
        <v>1.454149075</v>
      </c>
      <c r="Q102" s="10">
        <v>98.8739246</v>
      </c>
      <c r="R102" s="13">
        <f t="shared" si="27"/>
        <v>6.4376633699325e-12</v>
      </c>
      <c r="S102" s="13">
        <f t="shared" si="28"/>
        <v>1.91723441199337e-9</v>
      </c>
      <c r="U102" s="13">
        <v>5.64144127e-11</v>
      </c>
      <c r="V102" s="13">
        <v>6.437654512e-12</v>
      </c>
      <c r="W102" s="14">
        <f t="shared" ref="W102:W133" si="33">(U102+V102)/((U102/$Q$1)+(V102/$Q$2))</f>
        <v>3.25360709494943</v>
      </c>
    </row>
    <row r="103" customHeight="1" spans="1:23">
      <c r="A103" s="2">
        <v>6.88</v>
      </c>
      <c r="B103" s="4" t="s">
        <v>239</v>
      </c>
      <c r="C103" s="4" t="s">
        <v>240</v>
      </c>
      <c r="D103" s="20"/>
      <c r="E103" s="3">
        <f t="shared" si="20"/>
        <v>43228314913.3956</v>
      </c>
      <c r="G103" s="31">
        <f t="shared" si="21"/>
        <v>-159.133657127443</v>
      </c>
      <c r="H103" s="6">
        <f t="shared" si="30"/>
        <v>-2.77740626761362</v>
      </c>
      <c r="I103" s="32"/>
      <c r="J103" s="2">
        <f t="shared" si="23"/>
        <v>277.740626761362</v>
      </c>
      <c r="K103" s="2">
        <f t="shared" si="31"/>
        <v>3.71008291090063</v>
      </c>
      <c r="L103" s="33"/>
      <c r="M103" s="9">
        <f t="shared" si="25"/>
        <v>7.32583479520578e-11</v>
      </c>
      <c r="N103" s="2">
        <f t="shared" si="32"/>
        <v>4.82342630143736</v>
      </c>
      <c r="O103" s="24"/>
      <c r="P103" s="10">
        <v>1.451663714</v>
      </c>
      <c r="Q103" s="10">
        <v>99.8739246</v>
      </c>
      <c r="R103" s="13">
        <f t="shared" si="27"/>
        <v>6.4266604282494e-12</v>
      </c>
      <c r="S103" s="13">
        <f t="shared" si="28"/>
        <v>1.93662510999337e-9</v>
      </c>
      <c r="U103" s="13">
        <v>5.634331183e-11</v>
      </c>
      <c r="V103" s="13">
        <v>6.426651585e-12</v>
      </c>
      <c r="W103" s="14">
        <f t="shared" si="33"/>
        <v>3.25394464348305</v>
      </c>
    </row>
    <row r="104" customHeight="1" spans="1:23">
      <c r="A104" s="2">
        <v>6.92</v>
      </c>
      <c r="B104" s="4" t="s">
        <v>241</v>
      </c>
      <c r="C104" s="4" t="s">
        <v>242</v>
      </c>
      <c r="D104" s="20"/>
      <c r="E104" s="3">
        <f t="shared" si="20"/>
        <v>43479642325.6827</v>
      </c>
      <c r="G104" s="31">
        <f t="shared" si="21"/>
        <v>-160.195457049263</v>
      </c>
      <c r="H104" s="6">
        <f t="shared" si="30"/>
        <v>-2.79593817224679</v>
      </c>
      <c r="I104" s="32"/>
      <c r="J104" s="2">
        <f t="shared" si="23"/>
        <v>279.593817224679</v>
      </c>
      <c r="K104" s="2">
        <f t="shared" si="31"/>
        <v>3.71641844715635</v>
      </c>
      <c r="L104" s="33"/>
      <c r="M104" s="9">
        <f t="shared" si="25"/>
        <v>7.37361056819038e-11</v>
      </c>
      <c r="N104" s="2">
        <f t="shared" si="32"/>
        <v>4.88654384327904</v>
      </c>
      <c r="O104" s="24"/>
      <c r="P104" s="10">
        <v>1.449169065</v>
      </c>
      <c r="Q104" s="10">
        <v>100.8739246</v>
      </c>
      <c r="R104" s="13">
        <f t="shared" si="27"/>
        <v>6.4156163676615e-12</v>
      </c>
      <c r="S104" s="13">
        <f t="shared" si="28"/>
        <v>1.95601580799337e-9</v>
      </c>
      <c r="U104" s="13">
        <v>5.627225533e-11</v>
      </c>
      <c r="V104" s="13">
        <v>6.415607539e-12</v>
      </c>
      <c r="W104" s="14">
        <f t="shared" si="33"/>
        <v>3.25428855050021</v>
      </c>
    </row>
    <row r="105" customHeight="1" spans="1:23">
      <c r="A105" s="2">
        <v>6.96</v>
      </c>
      <c r="B105" s="4" t="s">
        <v>243</v>
      </c>
      <c r="C105" s="4" t="s">
        <v>244</v>
      </c>
      <c r="D105" s="20"/>
      <c r="E105" s="3">
        <f t="shared" si="20"/>
        <v>43730969737.9699</v>
      </c>
      <c r="G105" s="31">
        <f t="shared" si="21"/>
        <v>-161.264405522894</v>
      </c>
      <c r="H105" s="6">
        <f t="shared" si="30"/>
        <v>-2.81459484264583</v>
      </c>
      <c r="I105" s="32"/>
      <c r="J105" s="2">
        <f t="shared" si="23"/>
        <v>281.459484264583</v>
      </c>
      <c r="K105" s="2">
        <f t="shared" si="31"/>
        <v>3.7230165346746</v>
      </c>
      <c r="L105" s="33"/>
      <c r="M105" s="9">
        <f t="shared" si="25"/>
        <v>7.42325328910627e-11</v>
      </c>
      <c r="N105" s="2">
        <f t="shared" si="32"/>
        <v>4.95256249657454</v>
      </c>
      <c r="O105" s="24"/>
      <c r="P105" s="10">
        <v>1.446668377</v>
      </c>
      <c r="Q105" s="10">
        <v>101.8739246</v>
      </c>
      <c r="R105" s="13">
        <f t="shared" si="27"/>
        <v>6.4045455718167e-12</v>
      </c>
      <c r="S105" s="13">
        <f t="shared" si="28"/>
        <v>1.97540650599337e-9</v>
      </c>
      <c r="U105" s="13">
        <v>5.620137646e-11</v>
      </c>
      <c r="V105" s="13">
        <v>6.404536758e-12</v>
      </c>
      <c r="W105" s="14">
        <f t="shared" si="33"/>
        <v>3.25463893869367</v>
      </c>
    </row>
    <row r="106" customHeight="1" spans="1:23">
      <c r="A106" s="2">
        <v>7</v>
      </c>
      <c r="B106" s="4" t="s">
        <v>245</v>
      </c>
      <c r="C106" s="4" t="s">
        <v>246</v>
      </c>
      <c r="D106" s="20"/>
      <c r="E106" s="3">
        <f t="shared" si="20"/>
        <v>43982297150.2571</v>
      </c>
      <c r="G106" s="31">
        <f t="shared" si="21"/>
        <v>-162.340405267078</v>
      </c>
      <c r="H106" s="6">
        <f t="shared" si="30"/>
        <v>-2.83337458093246</v>
      </c>
      <c r="I106" s="32"/>
      <c r="J106" s="2">
        <f t="shared" si="23"/>
        <v>283.337458093246</v>
      </c>
      <c r="K106" s="2">
        <f t="shared" si="31"/>
        <v>3.72986897480665</v>
      </c>
      <c r="L106" s="33"/>
      <c r="M106" s="9">
        <f t="shared" si="25"/>
        <v>7.47222044572365e-11</v>
      </c>
      <c r="N106" s="2">
        <f t="shared" si="32"/>
        <v>5.01811671025521</v>
      </c>
      <c r="O106" s="24"/>
      <c r="P106" s="10">
        <v>1.444164762</v>
      </c>
      <c r="Q106" s="10">
        <v>102.8739246</v>
      </c>
      <c r="R106" s="13">
        <f t="shared" si="27"/>
        <v>6.3934618178502e-12</v>
      </c>
      <c r="S106" s="13">
        <f t="shared" si="28"/>
        <v>1.99479720399337e-9</v>
      </c>
      <c r="U106" s="13">
        <v>5.613080369e-11</v>
      </c>
      <c r="V106" s="13">
        <v>6.393453018e-12</v>
      </c>
      <c r="W106" s="14">
        <f t="shared" si="33"/>
        <v>3.25499593551104</v>
      </c>
    </row>
  </sheetData>
  <pageMargins left="0.7875" right="0.7875" top="1.05277777777778" bottom="1.05277777777778" header="0.7875" footer="0.7875"/>
  <pageSetup paperSize="1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29" sqref="J29"/>
    </sheetView>
  </sheetViews>
  <sheetFormatPr defaultColWidth="11.5428571428571" defaultRowHeight="12.75" customHeight="1"/>
  <cols>
    <col min="1" max="1" width="1.36190476190476" customWidth="1"/>
  </cols>
  <sheetData/>
  <pageMargins left="0.7875" right="0.7875" top="1.05277777777778" bottom="1.05277777777778" header="0.7875" footer="0.7875"/>
  <pageSetup paperSize="1" orientation="portrait" horizontalDpi="300" verticalDpi="300"/>
  <headerFooter>
    <oddHeader>&amp;C&amp;"Times New Roman,Normal"&amp;12&amp;A</oddHeader>
    <oddFooter>&amp;C&amp;"Times New Roman,Normal"&amp;12Page &amp;P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:customData xmlns="http://www.wps.cn/officeDocument/2013/wpsCustomData" xmlns:s="http://www.wps.cn/officeDocument/2013/wpsCustomData">
  <extobjs>
    <extobj name="2384804F-3998-4D57-9195-F3826E402611-1">
      <extobjdata type="2384804F-3998-4D57-9195-F3826E402611" data="ewoJIkltZ1NldHRpbmdKc29uIiA6ICJ7XCJoZWlnaHRcIjo0OS45OTk5OTk5OTk5OTk5OSxcIndpZHRoXCI6MjEyLjQ5OTk5OTk5OTk5OTk3fSIsCgkiTGF0ZXgiIDogInFfMSA9IDEgLSBcXGZyYWN7MX17Mn0gXFxjZG90IFxcZnJhY3tcXGxuXFxsZWZ0KCBcXGZyYWN7XFxwaX17aH0gd197ZWZ9IC0gMSBcXHJpZ2h0KX17XFxmcmFje3dfe2VmfX17aH19XG4iLAoJIkxhdGV4SW1nQmFzZTY0IiA6ICJQSE4yWnlCNGJXeHVjejBpYUhSMGNEb3ZMM2QzZHk1M015NXZjbWN2TWpBd01DOXpkbWNpSUhkcFpIUm9QU0l5Tnk0eU5URmxlQ0lnYUdWcFoyaDBQU0kyTGpReE9HVjRJaUJ5YjJ4bFBTSnBiV2NpSUdadlkzVnpZV0pzWlQwaVptRnNjMlVpSUhacFpYZENiM2c5SWpBZ0xURTJOakl1TXlBeE1qQTBOQzQ0SURJNE16WXVPU0lnZUcxc2JuTTZlR3hwYm1zOUltaDBkSEE2THk5M2QzY3Vkek11YjNKbkx6RTVPVGt2ZUd4cGJtc2lJR0Z5YVdFdGFHbGtaR1Z1UFNKMGNuVmxJaUJ6ZEhsc1pUMGlkbVZ5ZEdsallXd3RZV3hwWjI0NklDMHlMalkxTjJWNE95QnRZWGd0ZDJsa2RHZzZJRGs0SlRzaVBqeGtaV1p6UGp4d1lYUm9JR2xrUFNKTlNsZ3RNaTFVUlZndFNTMHhSRFExUlNJZ1pEMGlUVE16SURFMU4xRXpNeUF5TlRnZ01UQTVJRE0wT1ZReU9EQWdORFF4VVRNME1DQTBOREVnTXpjeUlETTRPVkV6TnpNZ016a3dJRE0zTnlBek9UVlVNemc0SURRd05sUTBNRFFnTkRFNFVUUXpPQ0EwTkRJZ05EVXdJRFEwTWxFME5UUWdORFF5SURRMU55QTBNemxVTkRZd0lEUXpORkUwTmpBZ05ESTFJRE01TVNBeE5EbFJNekl3SUMweE16VWdNekl3SUMweE16bFJNekl3SUMweE5EY2dNelkxSUMweE5EaElNemt3VVRNNU5pQXRNVFUySURNNU5pQXRNVFUzVkRNNU15QXRNVGMxVVRNNE9TQXRNVGc0SURNNE15QXRNVGswU0RNM01GRXpNemtnTFRFNU1pQXlOaklnTFRFNU1sRXlNelFnTFRFNU1pQXlNVEVnTFRFNU1sUXhOelFnTFRFNU1sUXhOVGNnTFRFNU0xRXhORE1nTFRFNU15QXhORE1nTFRFNE5WRXhORE1nTFRFNE1pQXhORFVnTFRFM01GRXhORGtnTFRFMU5DQXhOVElnTFRFMU1WUXhOeklnTFRFME9GRXlNakFnTFRFME9DQXlNekFnTFRFME1WRXlNemdnTFRFek5pQXlOVGdnTFRVelZESTNPU0F6TWxFeU56a2dNek1nTWpjeUlESTVVVEl5TkNBdE1UQWdNVGN5SUMweE1GRXhNVGNnTFRFd0lEYzFJRE13VkRNeklERTFOMXBOTXpVeUlETXlObEV6TWprZ05EQTFJREkzTnlBME1EVlJNalF5SURRd05TQXlNVEFnTXpjMFZERTJNQ0F5T1ROUk1UTXhJREl4TkNBeE1Ua2dNVEk1VVRFeE9TQXhNallnTVRFNUlERXhPRlF4TVRnZ01UQTJVVEV4T0NBMk1TQXhNellnTkRSVU1UYzVJREkyVVRJek15QXlOaUF5T1RBZ09UaE1Nams0SURFd09Vd3pOVElnTXpJMldpSXZQanh3WVhSb0lHbGtQU0pOU2xndE1pMVVSVmd0VGkwek1TSWdaRDBpVFRJeE15QTFOemhNTWpBd0lEVTNNMUV4T0RZZ05UWTRJREUyTUNBMU5qTlVNVEF5SURVMU5rZzRNMVkyTURKSU1UQXlVVEUwT1NBMk1EUWdNVGc1SURZeE4xUXlORFVnTmpReFZESTNNeUEyTmpOUk1qYzFJRFkyTmlBeU9EVWdOalkyVVRJNU5DQTJOallnTXpBeUlEWTJNRll6TmpGTU16QXpJRFl4VVRNeE1DQTFOQ0F6TVRVZ05USlVNek01SURRNFZEUXdNU0EwTmtnME1qZFdNRWcwTVRaUk16azFJRE1nTWpVM0lETlJNVEl4SURNZ01UQXdJREJJT0RoV05EWklNVEUwVVRFek5pQTBOaUF4TlRJZ05EWlVNVGMzSURRM1ZERTVNeUExTUZReU1ERWdOVEpVTWpBM0lEVTNWREl4TXlBMk1WWTFOemhhSWk4K1BIQmhkR2dnYVdROUlrMUtXQzB5TFZSRldDMU9MVE5FSWlCa1BTSk5OVFlnTXpRM1VUVTJJRE0yTUNBM01DQXpOamRJTnpBM1VUY3lNaUF6TlRrZ056SXlJRE0wTjFFM01qSWdNek0ySURjd09DQXpNamhNTXprd0lETXlOMGczTWxFMU5pQXpNeklnTlRZZ016UTNXazAxTmlBeE5UTlJOVFlnTVRZNElEY3lJREUzTTBnM01EaFJOekl5SURFMk15QTNNaklnTVRVelVUY3lNaUF4TkRBZ056QTNJREV6TTBnM01GRTFOaUF4TkRBZ05UWWdNVFV6V2lJdlBqeHdZWFJvSUdsa1BTSk5TbGd0TWkxVVJWZ3RUaTB5TWpFeUlpQmtQU0pOT0RRZ01qTTNWRGcwSURJMU1GUTVPQ0F5TnpCSU5qYzVVVFk1TkNBeU5qSWdOamswSURJMU1GUTJOemtnTWpNd1NEazRVVGcwSURJek55QTROQ0F5TlRCYUlpOCtQSEJoZEdnZ2FXUTlJazFLV0MweUxWUkZXQzFPTFRNeUlpQmtQU0pOTVRBNUlEUXlPVkU0TWlBME1qa2dOallnTkRRM1ZEVXdJRFE1TVZFMU1DQTFOaklnTVRBeklEWXhORlF5TXpVZ05qWTJVVE15TmlBMk5qWWdNemczSURZeE1GUTBORGtnTkRZMVVUUTBPU0EwTWpJZ05ESTVJRE00TTFRek9ERWdNekUxVkRNd01TQXlOREZSTWpZMUlESXhNQ0F5TURFZ01UUTVUREUwTWlBNU0wd3lNVGdnT1RKUk16YzFJRGt5SURNNE5TQTVOMUV6T1RJZ09Ua2dOREE1SURFNE5sWXhPRGxJTkRRNVZqRTRObEUwTkRnZ01UZ3pJRFF6TmlBNU5WUTBNakVnTTFZd1NEVXdWakU1VmpNeFVUVXdJRE00SURVMklEUTJWRGcySURneFVURXhOU0F4TVRNZ01UTTJJREV6TjFFeE5EVWdNVFEzSURFM01DQXhOelJVTWpBMElESXhNVlF5TXpNZ01qUTBWREkyTVNBeU56aFVNamcwSURNd09GUXpNRFVnTXpRd1ZETXlNQ0F6TmpsVU16TXpJRFF3TVZRek5EQWdORE14VkRNME15QTBOalJSTXpReklEVXlOeUF6TURrZ05UY3pWREl4TWlBMk1UbFJNVGM1SURZeE9TQXhOVFFnTmpBeVZERXhPU0ExTmpsVU1UQTVJRFUxTUZFeE1Ea2dOVFE1SURFeE5DQTFORGxSTVRNeUlEVTBPU0F4TlRFZ05UTTFWREUzTUNBME9EbFJNVGN3SURRMk5DQXhOVFFnTkRRM1ZERXdPU0EwTWpsYUlpOCtQSEJoZEdnZ2FXUTlJazFLV0MweUxWUkZXQzFPTFRJeVF6VWlJR1E5SWswM09DQXlOVEJSTnpnZ01qYzBJRGsxSURJNU1sUXhNemdnTXpFd1VURTJNaUF6TVRBZ01UZ3dJREk1TkZReE9Ua2dNalV4VVRFNU9TQXlNallnTVRneUlESXdPRlF4TXprZ01Ua3dWRGsySURJd04xUTNPQ0F5TlRCYUlpOCtQSEJoZEdnZ2FXUTlJazFLV0MweUxWUkZXQzFPTFRaRElpQmtQU0pOTkRJZ05EWklOVFpST1RVZ05EWWdNVEF6SURZd1ZqWTRVVEV3TXlBM055QXhNRE1nT1RGVU1UQXpJREV5TkZReE1EUWdNVFkzVkRFd05DQXlNVGRVTVRBMElESTNNbFF4TURRZ016STVVVEV3TkNBek5qWWdNVEEwSURRd04xUXhNRFFnTkRneVZERXdOQ0ExTkRKVU1UQXpJRFU0TmxReE1ETWdOakF6VVRFd01DQTJNaklnT0RrZ05qSTRWRFEwSURZek4wZ3lObFkyTmpCUk1qWWdOamd6SURJNElEWTRNMHd6T0NBMk9EUlJORGdnTmpnMUlEWTNJRFk0TmxReE1EUWdOamc0VVRFeU1TQTJPRGtnTVRReElEWTVNRlF4TnpFZ05qa3pWREU0TWlBMk9UUklNVGcxVmpNM09WRXhPRFVnTmpJZ01UZzJJRFl3VVRFNU1DQTFNaUF4T1RnZ05EbFJNakU1SURRMklESTBOeUEwTmtneU5qTldNRWd5TlRWTU1qTXlJREZSTWpBNUlESWdNVGd6SURKVU1UUTFJRE5VTVRBM0lETlVOVGNnTVV3ek5DQXdTREkyVmpRMlNEUXlXaUl2UGp4d1lYUm9JR2xrUFNKTlNsZ3RNaTFVUlZndFRpMDJSU0lnWkQwaVRUUXhJRFEyU0RVMVVUazBJRFEySURFd01pQTJNRlkyT0ZFeE1ESWdOemNnTVRBeUlEa3hWREV3TWlBeE1qSlVNVEF6SURFMk1WUXhNRE1nTWpBelVURXdNeUF5TXpRZ01UQXpJREkyT1ZReE1ESWdNekk0VmpNMU1WRTVPU0F6TnpBZ09EZ2dNemMyVkRReklETTROVWd5TlZZME1EaFJNalVnTkRNeElESTNJRFF6TVV3ek55QTBNekpSTkRjZ05ETXpJRFkxSURRek5GUXhNRElnTkRNMlVURXhPU0EwTXpjZ01UTTRJRFF6T0ZReE5qY2dORFF4VkRFM09DQTBOREpJTVRneFZqUXdNbEV4T0RFZ016WTBJREU0TWlBek5qUlVNVGczSURNMk9WUXhPVGtnTXpnMFZESXhPQ0EwTURKVU1qUTNJRFF5TVZReU9EVWdORE0zVVRNd05TQTBORElnTXpNMklEUTBNbEUwTlRBZ05ETTRJRFEyTXlBek1qbFJORFkwSURNeU1pQTBOalFnTVRrd1ZqRXdORkUwTmpRZ05qWWdORFkySURVNVZEUTNOeUEwT1ZFME9UZ2dORFlnTlRJMklEUTJTRFUwTWxZd1NEVXpORXcxTVRBZ01WRTBPRGNnTWlBME5qQWdNbFEwTWpJZ00xRXpNVGtnTXlBek1UQWdNRWd6TURKV05EWklNekU0VVRNM09TQTBOaUF6TnprZ05qSlJNemd3SURZMElETTRNQ0F5TURCUk16YzVJRE16TlNBek56Z2dNelF6VVRNM01pQXpOekVnTXpVNElETTROVlF6TXpRZ05EQXlWRE13T0NBME1EUlJNall6SURRd05DQXlNamtnTXpjd1VUSXdNaUF6TkRNZ01UazFJRE14TlZReE9EY2dNak15VmpFMk9GWXhNRGhSTVRnM0lEYzRJREU0T0NBMk9GUXhPVEVnTlRWVU1qQXdJRFE1VVRJeU1TQTBOaUF5TkRrZ05EWklNalkxVmpCSU1qVTNUREl6TkNBeFVUSXhNQ0F5SURFNE15QXlWREUwTlNBelVUUXlJRE1nTXpNZ01FZ3lOVlkwTmtnME1Wb2lMejQ4Y0dGMGFDQnBaRDBpVFVwWUxUSXRWRVZZTFU0dE1qQTJNU0lnWkQwaUlpOCtQSEJoZEdnZ2FXUTlJazFLV0MweUxWUkZXQzFUVHkweU9DSWdaRDBpVFRFMU1pQXlOVEZSTVRVeUlEWTBOaUF6T0RnZ09EVXdTRFF4TmxFME1qSWdPRFEwSURReU1pQTROREZSTkRJeUlEZ3pOeUEwTURNZ09ERTJWRE0xTnlBM05UTlVNekF5SURZME9WUXlOVFVnTkRneVZESXpOaUF5TlRCUk1qTTJJREV5TkNBeU5UVWdNVGxVTXpBeElDMHhORGRVTXpVMklDMHlOVEZVTkRBeklDMHpNVFZVTkRJeUlDMHpOREJSTkRJeUlDMHpORE1nTkRFMklDMHpORGxJTXpnNFVUTTFPU0F0TXpJMUlETXpNaUF0TWprMlZESTNNU0F0TWpFelZESXhNaUF0T1RkVU1UY3dJRFUyVkRFMU1pQXlOVEZhSWk4K1BIQmhkR2dnYVdROUlrMUtXQzB5TFZSRldDMUpMVEZFTnpCQ0lpQmtQU0pOTVRNeUlDMHhNVkU1T0NBdE1URWdPVGdnTWpKV016Tk1NVEV4SURZeFVURTROaUF5TVRrZ01qSXdJRE16TkV3eU1qZ2dNelU0U0RFNU5sRXhOVGdnTXpVNElERTBNaUF6TlRWVU1UQXpJRE16TmxFNU1pQXpNamtnT0RFZ016RTRWRFl5SURJNU4xUTFNeUF5T0RWUk5URWdNamcwSURNNElESTRORkV4T1NBeU9EUWdNVGtnTWprMFVURTVJRE13TUNBek9DQXpNamxVT1RNZ016a3hWREUyTkNBME1qbFJNVGN4SURRek1TQXpPRGtnTkRNeFVUVTBPU0EwTXpFZ05UVXpJRFF6TUZFMU56TWdOREl6SURVM015QTBNREpSTlRjeklETTNNU0ExTkRFZ016WXdVVFV6TlNBek5UZ2dORGN5SURNMU9FZzBNRGhNTkRBMUlETTBNVkV6T1RNZ01qWTVJRE01TXlBeU1qSlJNemt6SURFM01DQTBNRElnTVRJNVZEUXlNU0EyTlZRME16RWdNemRSTkRNeElESXdJRFF4TnlBMVZETTRNU0F0TVRCUk16Y3dJQzB4TUNBek5qTWdMVGRVTXpRM0lERTNWRE16TVNBM04xRXpNekFnT0RZZ016TXdJREV5TVZFek16QWdNVGN3SURNek9TQXlNalpVTXpVM0lETXhPRlF6TmpjZ016VTRTREkyT1V3eU5qZ2dNelUwVVRJMk9DQXpOVEVnTWpRNUlESTNOVlF5TURZZ01URTBWREUzTlNBeE4xRXhOalFnTFRFeElERXpNaUF0TVRGYUlpOCtQSEJoZEdnZ2FXUTlJazFLV0MweUxWUkZXQzFKTFRJeE1FVWlJR1E5SWsweE16Y2dOamd6VVRFek9DQTJPRE1nTWpBNUlEWTRPRlF5T0RJZ05qazBVVEk1TkNBMk9UUWdNamswSURZNE5WRXlPVFFnTmpjMElESTFPQ0ExTXpSUk1qSXdJRE00TmlBeU1qQWdNemd6VVRJeU1DQXpPREVnTWpJM0lETTRPRkV5T0RnZ05EUXlJRE0xTnlBME5ESlJOREV4SURRME1pQTBORFFnTkRFMVZEUTNPQ0F6TXpaUk5EYzRJREk0TlNBME5EQWdNVGM0VkRRd01pQTFNRkUwTURNZ016WWdOREEzSURNeFZEUXlNaUF5TmxFME5UQWdNallnTkRjMElEVTJWRFV4TXlBeE16aFJOVEUySURFME9TQTFNVGtnTVRVeFZEVXpOU0F4TlROUk5UVTFJREUxTXlBMU5UVWdNVFExVVRVMU5TQXhORFFnTlRVeElERXpNRkUxTXpVZ056RWdOVEF3SURNelVUUTJOaUF0TVRBZ05ERTVJQzB4TUVnME1UUlJNelkzSUMweE1DQXpORFlnTVRkVU16STFJRGMwVVRNeU5TQTVNQ0F6TmpFZ01Ua3lWRE01T0NBek5EVlJNems0SURRd05DQXpOVFFnTkRBMFNETTBPVkV5TmpZZ05EQTBJREl3TlNBek1EWk1NVGs0SURJNU0wd3hOalFnTVRVNFVURXpNaUF5T0NBeE1qY2dNVFpSTVRFMElDMHhNU0E0TXlBdE1URlJOamtnTFRFeElEVTVJQzB5VkRRNElERTJVVFE0SURNd0lERXlNU0F6TWpCTU1UazFJRFl4TmxFeE9UVWdOakk1SURFNE9DQTJNekpVTVRRNUlEWXpOMGd4TWpoUk1USXlJRFkwTXlBeE1qSWdOalExVkRFeU5DQTJOalJSTVRJNUlEWTRNeUF4TXpjZ05qZ3pXaUl2UGp4d1lYUm9JR2xrUFNKTlNsZ3RNaTFVUlZndFNTMHhSRFEyTkNJZ1pEMGlUVFU0TUNBek9EVlJOVGd3SURRd05pQTFPVGtnTkRJMFZEWTBNU0EwTkROUk5qVTVJRFEwTXlBMk56UWdOREkxVkRZNU1DQXpOamhSTmprd0lETXpPU0EyTnpFZ01qVXpVVFkxTmlBeE9UY2dOalEwSURFMk1WUTJNRGtnT0RCVU5UVTBJREV5VkRRNE1pQXRNVEZSTkRNNElDMHhNU0EwTURRZ05WUXpOVFVnTkRoUk16VTBJRFEzSURNMU1pQTBORkV6TVRFZ0xURXhJREkxTWlBdE1URlJNakkySUMweE1TQXlNRElnTFRWVU1UVTFJREUwVkRFeE9DQTFNMVF4TURRZ01URTJVVEV3TkNBeE56QWdNVE00SURJMk1sUXhOek1nTXpjNVVURTNNeUF6T0RBZ01UY3pJRE00TVZFeE56TWdNemt3SURFM015QXpPVE5VTVRZNUlEUXdNRlF4TlRnZ05EQTBTREUxTkZFeE16RWdOREEwSURFeE1pQXpPRFZVT0RJZ016UTBWRFkxSURNd01sUTFOeUF5T0RCUk5UVWdNamM0SURReElESTNPRWd5TjFFeU1TQXlPRFFnTWpFZ01qZzNVVEl4SURJNU15QXlPU0F6TVRWVU5USWdNelkyVkRrMklEUXhPRlF4TmpFZ05EUXhVVEl3TkNBME5ERWdNakkzSURReE5sUXlOVEFnTXpVNFVUSTFNQ0F6TkRBZ01qRTNJREkxTUZReE9EUWdNVEV4VVRFNE5DQTJOU0F5TURVZ05EWlVNalU0SURJMlVUTXdNU0F5TmlBek16UWdPRGRNTXpNNUlEazJWakV4T1ZFek16a2dNVEl5SURNek9TQXhNamhVTXpRd0lERXpObFF6TkRFZ01UUXpWRE0wTWlBeE5USlVNelExSURFMk5WUXpORGdnTVRneVZETTFOQ0F5TURaVU16WXlJREl6T0ZRek56TWdNamd4VVRRd01pQXpPVFVnTkRBMklEUXdORkUwTVRrZ05ETXhJRFEwT1NBME16RlJORFk0SURRek1TQTBOelVnTkRJeFZEUTRNeUEwTURKUk5EZ3pJRE00T1NBME5UUWdNamMwVkRReU1pQXhOREpSTkRJd0lERXpNU0EwTWpBZ01UQTNWakV3TUZFME1qQWdPRFVnTkRJeklEY3hWRFEwTWlBME1sUTBPRGNnTWpaUk5UVTRJREkySURZd01DQXhORGhSTmpBNUlERTNNU0EyTWpBZ01qRXpWRFl6TWlBeU56TlJOak15SURNd05pQTJNVGtnTXpJMVZEVTVNeUF6TlRkVU5UZ3dJRE00TlZvaUx6NDhjR0YwYUNCcFpEMGlUVXBZTFRJdFZFVllMVWt0TVVRME5USWlJR1E5SWswek9TQXhOamhSTXprZ01qSTFJRFU0SURJM01sUXhNRGNnTXpVd1ZERTNOQ0EwTURKVU1qUTBJRFF6TTFRek1EY2dORFF5U0RNeE1GRXpOVFVnTkRReUlETTRPQ0EwTWpCVU5ESXhJRE0xTlZFME1qRWdNalkxSURNeE1DQXlNemRSTWpZeElESXlOQ0F4TnpZZ01qSXpVVEV6T1NBeU1qTWdNVE00SURJeU1WRXhNemdnTWpFNUlERXpNaUF4T0RaVU1USTFJREV5T0ZFeE1qVWdPREVnTVRRMklEVTBWREl3T1NBeU5sUXpNRElnTkRWVU16azBJREV4TVZFME1ETWdNVEl4SURRd05pQXhNakZSTkRFd0lERXlNU0EwTVRrZ01URXlWRFF5T1NBNU9GUTBNakFnT0RKVU16a3dJRFUxVkRNME5DQXlORlF5T0RFZ0xURlVNakExSUMweE1WRXhNallnTFRFeElEZ3pJRFF5VkRNNUlERTJPRnBOTXpjeklETTFNMUV6TmpjZ05EQTFJRE13TlNBME1EVlJNamN5SURRd05TQXlORFFnTXpreFZERTVPU0F6TlRkVU1UY3dJRE14TmxReE5UUWdNamd3VkRFME9TQXlOakZSTVRRNUlESTJNQ0F4TmprZ01qWXdVVEk0TWlBeU5qQWdNekkzSURJNE5GUXpOek1nTXpVeldpSXZQanh3WVhSb0lHbGtQU0pOU2xndE1pMVVSVmd0U1MweFJEUTFNeUlnWkQwaVRURXhPQ0F0TVRZeVVURXlNQ0F0TVRZeUlERXlOQ0F0TVRZMFZERXpOU0F0TVRZM1ZERTBOeUF0TVRZNFVURTJNQ0F0TVRZNElERTNNU0F0TVRVMVZERTROeUF0TVRJMlVURTVOeUF0T1RrZ01qSXhJREkzVkRJMk55QXlOamRVTWpnNUlETTRNbFl6T0RWSU1qUXlVVEU1TlNBek9EVWdNVGt5SURNNE4xRXhPRGdnTXprd0lERTRPQ0F6T1RkTU1UazFJRFF5TlZFeE9UY2dORE13SURJd015QTBNekJVTWpVd0lEUXpNVkV5T1RnZ05ETXhJREk1T0NBME16SlJNams0SURRek5DQXpNRGNnTkRneVZETXhPU0ExTkRCUk16VTJJRGN3TlNBME5qVWdOekExVVRVd01pQTNNRE1nTlRJMklEWTRNMVExTlRBZ05qTXdVVFUxTUNBMU9UUWdOVEk1SURVM09GUTBPRGNnTlRZeFVUUTBNeUExTmpFZ05EUXpJRFl3TTFFME5ETWdOakl5SURRMU5DQTJNelpVTkRjNElEWTFOMHcwT0RjZ05qWXlVVFEzTVNBMk5qZ2dORFUzSURZMk9GRTBORFVnTmpZNElEUXpOQ0EyTlRoVU5ERTVJRFl6TUZFME1USWdOakF4SURRd015QTFOVEpVTXpnM0lEUTJPVlF6T0RBZ05ETXpVVE00TUNBME16RWdORE0xSURRek1WRTBPREFnTkRNeElEUTROeUEwTXpCVU5EazRJRFF5TkZFME9Ua2dOREl3SURRNU5pQTBNRGRVTkRreElETTVNVkUwT0RrZ016ZzJJRFE0TWlBek9EWlVOREk0SURNNE5VZ3pOekpNTXpRNUlESTJNMUV6TURFZ01UVWdNamd5SUMwME4xRXlOVFVnTFRFek1pQXlNVElnTFRFM00xRXhOelVnTFRJd05TQXhNemtnTFRJd05WRXhNRGNnTFRJd05TQTRNU0F0TVRnMlZEVTFJQzB4TXpKUk5UVWdMVGsxSURjMklDMDNPRlF4TVRnZ0xUWXhVVEUyTWlBdE5qRWdNVFl5SUMweE1ETlJNVFl5SUMweE1qSWdNVFV4SUMweE16WlVNVEkzSUMweE5UZE1NVEU0SUMweE5qSmFJaTgrUEhCaGRHZ2dhV1E5SWsxS1dDMHlMVlJGV0MxVFR5MHlPU0lnWkQwaVRUTXdOU0F5TlRGUk16QTFJQzB4TkRVZ05qa2dMVE0wT1VnMU5sRTBNeUF0TXpRNUlETTVJQzB6TkRkVU16VWdMVE16T0ZFek55QXRNek16SURZd0lDMHpNRGRVTVRBNElDMHlNemxVTVRZd0lDMHhNelpVTWpBMElESTNWREl5TVNBeU5UQlVNakEwSURRM00xUXhOakFnTmpNMlZERXdPQ0EzTkRCVU5qQWdPREEzVkRNMUlEZ3pPVkV6TlNBNE5UQWdOVEFnT0RVd1NEVTJTRFk1VVRFNU55QTNORE1nTWpVMklEVTJObEV6TURVZ05ESTFJRE13TlNBeU5URmFJaTgrUEM5a1pXWnpQanhuSUhOMGNtOXJaVDBpWTNWeWNtVnVkRU52Ykc5eUlpQm1hV3hzUFNKamRYSnlaVzUwUTI5c2IzSWlJSE4wY205clpTMTNhV1IwYUQwaU1DSWdkSEpoYm5ObWIzSnRQU0p6WTJGc1pTZ3hMQzB4S1NJK1BHY2daR0YwWVMxdGJXd3RibTlrWlQwaWJXRjBhQ0krUEdjZ1pHRjBZUzF0Yld3dGJtOWtaVDBpYlhOMVlpSStQR2NnWkdGMFlTMXRiV3d0Ym05a1pUMGliV2tpUGp4MWMyVWdaR0YwWVMxalBTSXhSRFExUlNJZ2VHeHBibXM2YUhKbFpqMGlJMDFLV0MweUxWUkZXQzFKTFRGRU5EVkZJaTgrUEM5blBqeG5JR1JoZEdFdGJXMXNMVzV2WkdVOUltMXVJaUIwY21GdWMyWnZjbTA5SW5SeVlXNXpiR0YwWlNnME56a3NMVEUxTUNrZ2MyTmhiR1VvTUM0M01EY3BJajQ4ZFhObElHUmhkR0V0WXowaU16RWlJSGhzYVc1ck9taHlaV1k5SWlOTlNsZ3RNaTFVUlZndFRpMHpNU0l2UGp3dlp6NDhMMmMrUEdjZ1pHRjBZUzF0Yld3dGJtOWtaVDBpYlc4aUlIUnlZVzV6Wm05eWJUMGlkSEpoYm5Oc1lYUmxLREV4TmpBdU15d3dLU0krUEhWelpTQmtZWFJoTFdNOUlqTkVJaUI0YkdsdWF6cG9jbVZtUFNJalRVcFlMVEl0VkVWWUxVNHRNMFFpTHo0OEwyYytQR2NnWkdGMFlTMXRiV3d0Ym05a1pUMGliVzRpSUhSeVlXNXpabTl5YlQwaWRISmhibk5zWVhSbEtESXlNVFl1TVN3d0tTSStQSFZ6WlNCa1lYUmhMV005SWpNeElpQjRiR2x1YXpwb2NtVm1QU0lqVFVwWUxUSXRWRVZZTFU0dE16RWlMejQ4TDJjK1BHY2daR0YwWVMxdGJXd3RibTlrWlQwaWJXOGlJSFJ5WVc1elptOXliVDBpZEhKaGJuTnNZWFJsS0RJNU16Z3VNeXd3S1NJK1BIVnpaU0JrWVhSaExXTTlJakl5TVRJaUlIaHNhVzVyT21oeVpXWTlJaU5OU2xndE1pMVVSVmd0VGkweU1qRXlJaTgrUEM5blBqeG5JR1JoZEdFdGJXMXNMVzV2WkdVOUltMW1jbUZqSWlCMGNtRnVjMlp2Y20wOUluUnlZVzV6YkdGMFpTZ3pPVE00TGpZc01Da2lQanhuSUdSaGRHRXRiVzFzTFc1dlpHVTlJbTF1SWlCMGNtRnVjMlp2Y20wOUluUnlZVzV6YkdGMFpTZ3lNakFzTmpjMktTSStQSFZ6WlNCa1lYUmhMV005SWpNeElpQjRiR2x1YXpwb2NtVm1QU0lqVFVwWUxUSXRWRVZZTFU0dE16RWlMejQ4TDJjK1BHY2daR0YwWVMxdGJXd3RibTlrWlQwaWJXNGlJSFJ5WVc1elptOXliVDBpZEhKaGJuTnNZWFJsS0RJeU1Dd3ROamcyS1NJK1BIVnpaU0JrWVhSaExXTTlJak15SWlCNGJHbHVhenBvY21WbVBTSWpUVXBZTFRJdFZFVllMVTR0TXpJaUx6NDhMMmMrUEhKbFkzUWdkMmxrZEdnOUlqY3dNQ0lnYUdWcFoyaDBQU0kyTUNJZ2VEMGlNVEl3SWlCNVBTSXlNakFpTHo0OEwyYytQR2NnWkdGMFlTMXRiV3d0Ym05a1pUMGliVzhpSUhSeVlXNXpabTl5YlQwaWRISmhibk5zWVhSbEtEVXhNREF1T0N3d0tTSStQSFZ6WlNCa1lYUmhMV005SWpJeVF6VWlJSGhzYVc1ck9taHlaV1k5SWlOTlNsZ3RNaTFVUlZndFRpMHlNa00xSWk4K1BDOW5QanhuSUdSaGRHRXRiVzFzTFc1dlpHVTlJbTFtY21GaklpQjBjbUZ1YzJadmNtMDlJblJ5WVc1emJHRjBaU2cxTmpBeExEQXBJajQ4WnlCa1lYUmhMVzF0YkMxdWIyUmxQU0p0Y205M0lpQjBjbUZ1YzJadmNtMDlJblJ5WVc1emJHRjBaU2d5TWpBc09ERXlMamdwSWo0OFp5QmtZWFJoTFcxdGJDMXViMlJsUFNKdGFTSStQSFZ6WlNCa1lYUmhMV005SWpaRElpQjRiR2x1YXpwb2NtVm1QU0lqVFVwWUxUSXRWRVZZTFU0dE5rTWlMejQ4ZFhObElHUmhkR0V0WXowaU5rVWlJSGhzYVc1ck9taHlaV1k5SWlOTlNsZ3RNaTFVUlZndFRpMDJSU0lnZEhKaGJuTm1iM0p0UFNKMGNtRnVjMnhoZEdVb01qYzRMREFwSWk4K1BDOW5QanhuSUdSaGRHRXRiVzFzTFc1dlpHVTlJbTF2SWlCMGNtRnVjMlp2Y20wOUluUnlZVzV6YkdGMFpTZzRNelFzTUNraVBqeDFjMlVnWkdGMFlTMWpQU0l5TURZeElpQjRiR2x1YXpwb2NtVm1QU0lqVFVwWUxUSXRWRVZZTFU0dE1qQTJNU0l2UGp3dlp6NDhaeUJrWVhSaExXMXRiQzF1YjJSbFBTSnRjbTkzSWlCMGNtRnVjMlp2Y20wOUluUnlZVzV6YkdGMFpTZ3hNREF3TGpjc01Da2lQanhuSUdSaGRHRXRiVzFzTFc1dlpHVTlJbTF2SWlCMGNtRnVjMlp2Y20wOUluUnlZVzV6YkdGMFpTZ3dJQzB3TGpVcElqNDhkWE5sSUdSaGRHRXRZejBpTWpnaUlIaHNhVzVyT21oeVpXWTlJaU5OU2xndE1pMVVSVmd0VTA4dE1qZ2lMejQ4TDJjK1BHY2daR0YwWVMxdGJXd3RibTlrWlQwaWJXWnlZV01pSUhSeVlXNXpabTl5YlQwaWRISmhibk5zWVhSbEtEUTFPQ3d3S1NJK1BHY2daR0YwWVMxdGJXd3RibTlrWlQwaWJXa2lJSFJ5WVc1elptOXliVDBpZEhKaGJuTnNZWFJsS0RJeU1pNHhMRE01TkNrZ2MyTmhiR1VvTUM0M01EY3BJajQ4ZFhObElHUmhkR0V0WXowaU1VUTNNRUlpSUhoc2FXNXJPbWh5WldZOUlpTk5TbGd0TWkxVVJWZ3RTUzB4UkRjd1FpSXZQand2Wno0OFp5QmtZWFJoTFcxdGJDMXViMlJsUFNKdGFTSWdkSEpoYm5ObWIzSnRQU0owY21GdWMyeGhkR1VvTWpJd0xDMHpORFVwSUhOallXeGxLREF1TnpBM0tTSStQSFZ6WlNCa1lYUmhMV005SWpJeE1FVWlJSGhzYVc1ck9taHlaV1k5SWlOTlNsZ3RNaTFVUlZndFNTMHlNVEJGSWk4K1BDOW5Qanh5WldOMElIZHBaSFJvUFNJMk1EY3VNeUlnYUdWcFoyaDBQU0kyTUNJZ2VEMGlNVEl3SWlCNVBTSXlNakFpTHo0OEwyYytQR2NnWkdGMFlTMXRiV3d0Ym05a1pUMGliWE4xWWlJZ2RISmhibk5tYjNKdFBTSjBjbUZ1YzJ4aGRHVW9NVE13TlM0ekxEQXBJajQ4WnlCa1lYUmhMVzF0YkMxdWIyUmxQU0p0YVNJK1BIVnpaU0JrWVhSaExXTTlJakZFTkRZMElpQjRiR2x1YXpwb2NtVm1QU0lqVFVwWUxUSXRWRVZZTFVrdE1VUTBOalFpTHo0OEwyYytQR2NnWkdGMFlTMXRiV3d0Ym05a1pUMGlWR1ZZUVhSdmJTSWdkSEpoYm5ObWIzSnRQU0owY21GdWMyeGhkR1VvTnpRNUxDMHhOVEFwSUhOallXeGxLREF1TnpBM0tTSWdaR0YwWVMxdGFuZ3RkR1Y0WTJ4aGMzTTlJazlTUkNJK1BHY2daR0YwWVMxdGJXd3RibTlrWlQwaWJXa2lQangxYzJVZ1pHRjBZUzFqUFNJeFJEUTFNaUlnZUd4cGJtczZhSEpsWmowaUkwMUtXQzB5TFZSRldDMUpMVEZFTkRVeUlpOCtQQzluUGp4bklHUmhkR0V0Ylcxc0xXNXZaR1U5SW0xcElpQjBjbUZ1YzJadmNtMDlJblJ5WVc1emJHRjBaU2cwTmpZc01Da2lQangxYzJVZ1pHRjBZUzFqUFNJeFJEUTFNeUlnZUd4cGJtczZhSEpsWmowaUkwMUtXQzB5TFZSRldDMUpMVEZFTkRVeklpOCtQQzluUGp3dlp6NDhMMmMrUEdjZ1pHRjBZUzF0Yld3dGJtOWtaVDBpYlc4aUlIUnlZVzV6Wm05eWJUMGlkSEpoYm5Oc1lYUmxLRE13TkRRdU9Td3dLU0krUEhWelpTQmtZWFJoTFdNOUlqSXlNVElpSUhoc2FXNXJPbWh5WldZOUlpTk5TbGd0TWkxVVJWZ3RUaTB5TWpFeUlpOCtQQzluUGp4bklHUmhkR0V0Ylcxc0xXNXZaR1U5SW0xdUlpQjBjbUZ1YzJadmNtMDlJblJ5WVc1emJHRjBaU2cwTURRMUxqSXNNQ2tpUGp4MWMyVWdaR0YwWVMxalBTSXpNU0lnZUd4cGJtczZhSEpsWmowaUkwMUtXQzB5TFZSRldDMU9MVE14SWk4K1BDOW5QanhuSUdSaGRHRXRiVzFzTFc1dlpHVTlJbTF2SWlCMGNtRnVjMlp2Y20wOUluUnlZVzV6YkdGMFpTZzBOVFExTGpJc01Da2dkSEpoYm5Oc1lYUmxLREFnTFRBdU5Ta2lQangxYzJVZ1pHRjBZUzFqUFNJeU9TSWdlR3hwYm1zNmFISmxaajBpSTAxS1dDMHlMVlJGV0MxVFR5MHlPU0l2UGp3dlp6NDhMMmMrUEM5blBqeG5JR1JoZEdFdGJXMXNMVzV2WkdVOUltMW1jbUZqSWlCMGNtRnVjMlp2Y20wOUluUnlZVzV6YkdGMFpTZ3lORFkxTGpRc0xUZ3lNUzQ0S1NJK1BHY2daR0YwWVMxdGJXd3RibTlrWlQwaWJYTjFZaUlnZEhKaGJuTm1iM0p0UFNKMGNtRnVjMnhoZEdVb01qSXdMRFUwT0M0MktTQnpZMkZzWlNnd0xqY3dOeWtpUGp4bklHUmhkR0V0Ylcxc0xXNXZaR1U5SW0xcElqNDhkWE5sSUdSaGRHRXRZejBpTVVRME5qUWlJSGhzYVc1ck9taHlaV1k5SWlOTlNsZ3RNaTFVUlZndFNTMHhSRFEyTkNJdlBqd3ZaejQ4WnlCa1lYUmhMVzF0YkMxdWIyUmxQU0pVWlZoQmRHOXRJaUIwY21GdWMyWnZjbTA5SW5SeVlXNXpiR0YwWlNnM05Ea3NMVEUxTUNrZ2MyTmhiR1VvTUM0M01EY3BJaUJrWVhSaExXMXFlQzEwWlhoamJHRnpjejBpVDFKRUlqNDhaeUJrWVhSaExXMXRiQzF1YjJSbFBTSnRhU0krUEhWelpTQmtZWFJoTFdNOUlqRkVORFV5SWlCNGJHbHVhenBvY21WbVBTSWpUVXBZTFRJdFZFVllMVWt0TVVRME5USWlMejQ4TDJjK1BHY2daR0YwWVMxdGJXd3RibTlrWlQwaWJXa2lJSFJ5WVc1elptOXliVDBpZEhKaGJuTnNZWFJsS0RRMk5pd3dLU0krUEhWelpTQmtZWFJoTFdNOUlqRkVORFV6SWlCNGJHbHVhenBvY21WbVBTSWpUVXBZTFRJdFZFVllMVWt0TVVRME5UTWlMejQ4TDJjK1BDOW5Qand2Wno0OFp5QmtZWFJoTFcxdGJDMXViMlJsUFNKdGFTSWdkSEpoYm5ObWIzSnRQU0owY21GdWMyeGhkR1VvTlRVeUxqZ3NMVE0wTlNrZ2MyTmhiR1VvTUM0M01EY3BJajQ4ZFhObElHUmhkR0V0WXowaU1qRXdSU0lnZUd4cGJtczZhSEpsWmowaUkwMUtXQzB5TFZSRldDMUpMVEl4TUVVaUx6NDhMMmMrUEhKbFkzUWdkMmxrZEdnOUlqRXlOek1pSUdobGFXZG9kRDBpTmpBaUlIZzlJakV5TUNJZ2VUMGlNakl3SWk4K1BDOW5Qanh5WldOMElIZHBaSFJvUFNJMk1qQXpMamdpSUdobGFXZG9kRDBpTmpBaUlIZzlJakV5TUNJZ2VUMGlNakl3SWk4K1BDOW5Qand2Wno0OEwyYytQQzl6ZG1jKyIsCgkiUmVhbFZpZXdTaXplSnNvbiIgOiAie1wiaGVpZ2h0XCI6MTAwMSxcIndpZHRoXCI6NDI1MH0iCn0K"/>
    </extobj>
    <extobj name="2384804F-3998-4D57-9195-F3826E402611-2">
      <extobjdata type="2384804F-3998-4D57-9195-F3826E402611" data="ewoJIkltZ1NldHRpbmdKc29uIiA6ICJ7XCJoZWlnaHRcIjo3MC41MzU3MTQyODU3MTQyOCxcIndpZHRoXCI6NDU4LjkyODU3MTQyODU3MTR9IiwKCSJMYXRleCIgOiAicV8yID0gMSAtIHFfMSAtIFxcZnJhY3sxfXsyfSBcXGNkb3QgXFxmcmFje2ggLSB2X3tcXGVsbH19e3dfe2VmfX0gXFxjZG90IFxuXFxsbiBcXGxlZnRbIFxuXFxmcmFjeyBcblxcZnJhY3tcXHBpIHdfe2VmfX17aH0gXFxjZG90IFxcY29zXFxsZWZ0KCBcXGZyYWN7dl97XFxlbGx9fXsyfSBcXGNkb3QgXFxmcmFje1xccGl9e2h9IFxccmlnaHQpIFxuKyBcXHNpblxcbGVmdCggXFxmcmFje3Zfe1xcZWxsfX17Mn0gXFxjZG90IFxcZnJhY3tcXHBpfXtofSBcXHJpZ2h0KVxufXtcblxccGkgXFxsZWZ0KCBcXGZyYWN7aF8yfXtofSAtIFxcZnJhY3sxfXsyfSBcXHJpZ2h0KSArIFxcZnJhY3t2X3tcXGVsbH19ezJ9IFxcY2RvdCBcXGZyYWN7XFxwaX17aH1cbn1cblxccmlnaHRdXG4iLAoJIkxhdGV4SW1nQmFzZTY0IiA6ICJQSE4yWnlCNGJXeHVjejBpYUhSMGNEb3ZMM2QzZHk1M015NXZjbWN2TWpBd01DOXpkbWNpSUhkcFpIUm9QU0kyTXk0Mk5UZGxlQ0lnYUdWcFoyaDBQU0k1TGpBNVpYZ2lJSEp2YkdVOUltbHRaeUlnWm05amRYTmhZbXhsUFNKbVlXeHpaU0lnZG1sbGQwSnZlRDBpTUNBdE1qSTFPU0F5T0RFek5pNDBJRFF3TVRnaUlIaHRiRzV6T25oc2FXNXJQU0pvZEhSd09pOHZkM2QzTG5jekxtOXlaeTh4T1RrNUwzaHNhVzVySWlCaGNtbGhMV2hwWkdSbGJqMGlkSEoxWlNJZ2MzUjViR1U5SW5abGNuUnBZMkZzTFdGc2FXZHVPaUF0TXk0NU9HVjRPeUJ0WVhndGQybGtkR2c2SURrNEpUc2lQanhrWldaelBqeHdZWFJvSUdsa1BTSk5TbGd0TWkxVVJWZ3RTUzB4UkRRMVJTSWdaRDBpVFRNeklERTFOMUV6TXlBeU5UZ2dNVEE1SURNME9WUXlPREFnTkRReFVUTTBNQ0EwTkRFZ016Y3lJRE00T1ZFek56TWdNemt3SURNM055QXpPVFZVTXpnNElEUXdObFEwTURRZ05ERTRVVFF6T0NBME5ESWdORFV3SURRME1sRTBOVFFnTkRReUlEUTFOeUEwTXpsVU5EWXdJRFF6TkZFME5qQWdOREkxSURNNU1TQXhORGxSTXpJd0lDMHhNelVnTXpJd0lDMHhNemxSTXpJd0lDMHhORGNnTXpZMUlDMHhORGhJTXprd1VUTTVOaUF0TVRVMklETTVOaUF0TVRVM1ZETTVNeUF0TVRjMVVUTTRPU0F0TVRnNElETTRNeUF0TVRrMFNETTNNRkV6TXprZ0xURTVNaUF5TmpJZ0xURTVNbEV5TXpRZ0xURTVNaUF5TVRFZ0xURTVNbFF4TnpRZ0xURTVNbFF4TlRjZ0xURTVNMUV4TkRNZ0xURTVNeUF4TkRNZ0xURTROVkV4TkRNZ0xURTRNaUF4TkRVZ0xURTNNRkV4TkRrZ0xURTFOQ0F4TlRJZ0xURTFNVlF4TnpJZ0xURTBPRkV5TWpBZ0xURTBPQ0F5TXpBZ0xURTBNVkV5TXpnZ0xURXpOaUF5TlRnZ0xUVXpWREkzT1NBek1sRXlOemtnTXpNZ01qY3lJREk1VVRJeU5DQXRNVEFnTVRjeUlDMHhNRkV4TVRjZ0xURXdJRGMxSURNd1ZETXpJREUxTjFwTk16VXlJRE15TmxFek1qa2dOREExSURJM055QTBNRFZSTWpReUlEUXdOU0F5TVRBZ016YzBWREUyTUNBeU9UTlJNVE14SURJeE5DQXhNVGtnTVRJNVVURXhPU0F4TWpZZ01URTVJREV4T0ZReE1UZ2dNVEEyVVRFeE9DQTJNU0F4TXpZZ05EUlVNVGM1SURJMlVUSXpNeUF5TmlBeU9UQWdPVGhNTWprNElERXdPVXd6TlRJZ016STJXaUl2UGp4d1lYUm9JR2xrUFNKTlNsZ3RNaTFVUlZndFRpMHpNaUlnWkQwaVRURXdPU0EwTWpsUk9ESWdOREk1SURZMklEUTBOMVExTUNBME9URlJOVEFnTlRZeUlERXdNeUEyTVRSVU1qTTFJRFkyTmxFek1qWWdOalkySURNNE55QTJNVEJVTkRRNUlEUTJOVkUwTkRrZ05ESXlJRFF5T1NBek9ETlVNemd4SURNeE5WUXpNREVnTWpReFVUSTJOU0F5TVRBZ01qQXhJREUwT1V3eE5ESWdPVE5NTWpFNElEa3lVVE0zTlNBNU1pQXpPRFVnT1RkUk16a3lJRGs1SURRd09TQXhPRFpXTVRnNVNEUTBPVll4T0RaUk5EUTRJREU0TXlBME16WWdPVFZVTkRJeElETldNRWcxTUZZeE9WWXpNVkUxTUNBek9DQTFOaUEwTmxRNE5pQTRNVkV4TVRVZ01URXpJREV6TmlBeE16ZFJNVFExSURFME55QXhOekFnTVRjMFZESXdOQ0F5TVRGVU1qTXpJREkwTkZReU5qRWdNamM0VkRJNE5DQXpNRGhVTXpBMUlETTBNRlF6TWpBZ016WTVWRE16TXlBME1ERlVNelF3SURRek1WUXpORE1nTkRZMFVUTTBNeUExTWpjZ016QTVJRFUzTTFReU1USWdOakU1VVRFM09TQTJNVGtnTVRVMElEWXdNbFF4TVRrZ05UWTVWREV3T1NBMU5UQlJNVEE1SURVME9TQXhNVFFnTlRRNVVURXpNaUExTkRrZ01UVXhJRFV6TlZReE56QWdORGc1VVRFM01DQTBOalFnTVRVMElEUTBOMVF4TURrZ05ESTVXaUl2UGp4d1lYUm9JR2xrUFNKTlNsZ3RNaTFVUlZndFRpMHpSQ0lnWkQwaVRUVTJJRE0wTjFFMU5pQXpOakFnTnpBZ016WTNTRGN3TjFFM01qSWdNelU1SURjeU1pQXpORGRSTnpJeUlETXpOaUEzTURnZ016STRURE01TUNBek1qZElOekpSTlRZZ016TXlJRFUySURNME4xcE5OVFlnTVRVelVUVTJJREUyT0NBM01pQXhOek5JTnpBNFVUY3lNaUF4TmpNZ056SXlJREUxTTFFM01qSWdNVFF3SURjd055QXhNek5JTnpCUk5UWWdNVFF3SURVMklERTFNMW9pTHo0OGNHRjBhQ0JwWkQwaVRVcFlMVEl0VkVWWUxVNHRNekVpSUdROUlrMHlNVE1nTlRjNFRESXdNQ0ExTnpOUk1UZzJJRFUyT0NBeE5qQWdOVFl6VkRFd01pQTFOVFpJT0ROV05qQXlTREV3TWxFeE5Ea2dOakEwSURFNE9TQTJNVGRVTWpRMUlEWTBNVlF5TnpNZ05qWXpVVEkzTlNBMk5qWWdNamcxSURZMk5sRXlPVFFnTmpZMklETXdNaUEyTmpCV016WXhURE13TXlBMk1WRXpNVEFnTlRRZ016RTFJRFV5VkRNek9TQTBPRlEwTURFZ05EWklOREkzVmpCSU5ERTJVVE01TlNBeklESTFOeUF6VVRFeU1TQXpJREV3TUNBd1NEZzRWalEyU0RFeE5GRXhNellnTkRZZ01UVXlJRFEyVkRFM055QTBOMVF4T1RNZ05UQlVNakF4SURVeVZESXdOeUExTjFReU1UTWdOakZXTlRjNFdpSXZQanh3WVhSb0lHbGtQU0pOU2xndE1pMVVSVmd0VGkweU1qRXlJaUJrUFNKTk9EUWdNak0zVkRnMElESTFNRlE1T0NBeU56QklOamM1VVRZNU5DQXlOaklnTmprMElESTFNRlEyTnprZ01qTXdTRGs0VVRnMElESXpOeUE0TkNBeU5UQmFJaTgrUEhCaGRHZ2dhV1E5SWsxS1dDMHlMVlJGV0MxT0xUSXlRelVpSUdROUlrMDNPQ0F5TlRCUk56Z2dNamMwSURrMUlESTVNbFF4TXpnZ016RXdVVEUyTWlBek1UQWdNVGd3SURJNU5GUXhPVGtnTWpVeFVURTVPU0F5TWpZZ01UZ3lJREl3T0ZReE16a2dNVGt3VkRrMklESXdOMVEzT0NBeU5UQmFJaTgrUEhCaGRHZ2dhV1E5SWsxS1dDMHlMVlJGV0MxSkxUSXhNRVVpSUdROUlrMHhNemNnTmpnelVURXpPQ0EyT0RNZ01qQTVJRFk0T0ZReU9ESWdOamswVVRJNU5DQTJPVFFnTWprMElEWTROVkV5T1RRZ05qYzBJREkxT0NBMU16UlJNakl3SURNNE5pQXlNakFnTXpnelVUSXlNQ0F6T0RFZ01qSTNJRE00T0ZFeU9EZ2dORFF5SURNMU55QTBOREpSTkRFeElEUTBNaUEwTkRRZ05ERTFWRFEzT0NBek16WlJORGM0SURJNE5TQTBOREFnTVRjNFZEUXdNaUExTUZFME1ETWdNellnTkRBM0lETXhWRFF5TWlBeU5sRTBOVEFnTWpZZ05EYzBJRFUyVkRVeE15QXhNemhSTlRFMklERTBPU0ExTVRrZ01UVXhWRFV6TlNBeE5UTlJOVFUxSURFMU15QTFOVFVnTVRRMVVUVTFOU0F4TkRRZ05UVXhJREV6TUZFMU16VWdOekVnTlRBd0lETXpVVFEyTmlBdE1UQWdOREU1SUMweE1FZzBNVFJSTXpZM0lDMHhNQ0F6TkRZZ01UZFVNekkxSURjMFVUTXlOU0E1TUNBek5qRWdNVGt5VkRNNU9DQXpORFZSTXprNElEUXdOQ0F6TlRRZ05EQTBTRE0wT1ZFeU5qWWdOREEwSURJd05TQXpNRFpNTVRrNElESTVNMHd4TmpRZ01UVTRVVEV6TWlBeU9DQXhNamNnTVRaUk1URTBJQzB4TVNBNE15QXRNVEZSTmprZ0xURXhJRFU1SUMweVZEUTRJREUyVVRRNElETXdJREV5TVNBek1qQk1NVGsxSURZeE5sRXhPVFVnTmpJNUlERTRPQ0EyTXpKVU1UUTVJRFl6TjBneE1qaFJNVEl5SURZME15QXhNaklnTmpRMVZERXlOQ0EyTmpSUk1USTVJRFk0TXlBeE16Y2dOamd6V2lJdlBqeHdZWFJvSUdsa1BTSk5TbGd0TWkxVVJWZ3RTUzB4UkRRMk15SWdaRDBpVFRFM015QXpPREJSTVRjeklEUXdOU0F4TlRRZ05EQTFVVEV6TUNBME1EVWdNVEEwSURNM05sUTJNU0F5T0RkUk5qQWdNamcySURVNUlESTRORlExT0NBeU9ERlVOVFlnTWpjNVZEVXpJREkzT0ZRME9TQXlOemhVTkRFZ01qYzRTREkzVVRJeElESTROQ0F5TVNBeU9EZFJNakVnTWprMElESTVJRE14TmxRMU15QXpOamhVT1RjZ05ERTVWREUyTUNBME5ERlJNakF5SURRME1TQXlNalVnTkRFM1ZESTBPU0F6TmpGUk1qUTVJRE0wTkNBeU5EWWdNek0xVVRJME5pQXpNamtnTWpNeElESTVNVlF5TURBZ01qQXlWREU0TWlBeE1UTlJNVGd5SURnMklERTROeUEyT1ZFeU1EQWdNallnTWpVd0lESTJVVEk0TnlBeU5pQXpNVGtnTmpCVU16WTVJREV6T1ZRek9UZ2dNakl5VkRRd09TQXlOemRSTkRBNUlETXdNQ0EwTURFZ016RTNWRE00TXlBek5ETlVNelkxSURNMk1WUXpOVGNnTXpnelVUTTFOeUEwTURVZ016YzJJRFF5TkZRME1UY2dORFF6VVRRek5pQTBORE1nTkRVeElEUXlOVlEwTmpjZ016WTNVVFEyTnlBek5EQWdORFUxSURJNE5GUTBNVGdnTVRVNVZETTBOeUEwTUZReU5ERWdMVEV4VVRFM055QXRNVEVnTVRNNUlESXlVVEV3TWlBMU5DQXhNRElnTVRFM1VURXdNaUF4TkRnZ01URXdJREU0TVZReE5URWdNams0VVRFM015QXpOaklnTVRjeklETTRNRm9pTHo0OGNHRjBhQ0JwWkQwaVRVcFlMVEl0VkVWWUxVa3RNakV4TXlJZ1pEMGlUVE0wTlNBeE1EUlVNelE1SURFd05GUXpOakVnT1RWVU16WTVJRGd3VkRNMU1pQTFPVkV5TmpnZ0xUSXdJREl3TmlBdE1qQlJNVGN3SUMweU1DQXhORFlnTTFReE1UTWdOVE5VT1RrZ01UQTBURGswSURFeU9WRTVOQ0F4TXpBZ056a2dNVEUyVkRRNElEZzJWREk0SURjd1VUSXlJRGN3SURFMUlEYzVWRGNnT1RSUk55QTVPQ0F4TWlBeE1ETlVOVGdnTVRRM1REa3hJREUzT1ZZeE9EVlJPVEVnTVRnMklEa3hJREU1TVZRNU1pQXlNREJST1RJZ01qZ3lJREV5T0NBME1EQlVNakl6SURZeE1sUXpNellnTnpBMVVUTTVOeUEzTURVZ016azNJRFl6TmxZMk1qZFJNemszSURRMU15QXhPVFFnTWpNelVURTROU0F5TWpNZ01UZ3dJREl4T0ZReE56UWdNakV4VkRFM01TQXlNRGhVTVRZMUlESXdNVXd4TmpNZ01UZzJVVEUxT1NBeE5ESWdNVFU1SURFeU0xRXhOVGtnTVRjZ01qQTRJREUzVVRJeU9DQXhOeUF5TlRNZ016QlVNamt6SURVMlZETXpOU0E1TkZFek5EVWdNVEEwSURNME9TQXhNRFJhVFRNMk1DQTJNelJSTXpZd0lEWTFOU0F6TlRRZ05qWXhWRE16TmlBMk5qaFJNekk0SURZMk9DQXpNaklnTmpZMlZETXdNaUEyTkRWVU1qY3lJRFU1TWxFeU5USWdOVFEzSURJeU9TQTBOamRVTVRreUlETXpNRXd4TnprZ01qY3pVVEUzT1NBeU56SWdNVGcySURJNE1GUXlNRFFnTXpBd1ZESXlNU0F6TWpKUk16STNJRFExTXlBek5UVWdOVGt3VVRNMk1DQTJNVElnTXpZd0lEWXpORm9pTHo0OGNHRjBhQ0JwWkQwaVRVcFlMVEl0VkVWWUxVa3RNVVEwTmpRaUlHUTlJazAxT0RBZ016ZzFVVFU0TUNBME1EWWdOVGs1SURReU5GUTJOREVnTkRRelVUWTFPU0EwTkRNZ05qYzBJRFF5TlZRMk9UQWdNelk0VVRZNU1DQXpNemtnTmpjeElESTFNMUUyTlRZZ01UazNJRFkwTkNBeE5qRlVOakE1SURnd1ZEVTFOQ0F4TWxRME9ESWdMVEV4VVRRek9DQXRNVEVnTkRBMElEVlVNelUxSURRNFVUTTFOQ0EwTnlBek5USWdORFJSTXpFeElDMHhNU0F5TlRJZ0xURXhVVEl5TmlBdE1URWdNakF5SUMwMVZERTFOU0F4TkZReE1UZ2dOVE5VTVRBMElERXhObEV4TURRZ01UY3dJREV6T0NBeU5qSlVNVGN6SURNM09WRXhOek1nTXpnd0lERTNNeUF6T0RGUk1UY3pJRE01TUNBeE56TWdNemt6VkRFMk9TQTBNREJVTVRVNElEUXdORWd4TlRSUk1UTXhJRFF3TkNBeE1USWdNemcxVkRneUlETTBORlEyTlNBek1ESlVOVGNnTWpnd1VUVTFJREkzT0NBME1TQXlOemhJTWpkUk1qRWdNamcwSURJeElESTROMUV5TVNBeU9UTWdNamtnTXpFMVZEVXlJRE0yTmxRNU5pQTBNVGhVTVRZeElEUTBNVkV5TURRZ05EUXhJREl5TnlBME1UWlVNalV3SURNMU9GRXlOVEFnTXpRd0lESXhOeUF5TlRCVU1UZzBJREV4TVZFeE9EUWdOalVnTWpBMUlEUTJWREkxT0NBeU5sRXpNREVnTWpZZ016TTBJRGczVERNek9TQTVObFl4TVRsUk16TTVJREV5TWlBek16a2dNVEk0VkRNME1DQXhNelpVTXpReElERTBNMVF6TkRJZ01UVXlWRE0wTlNBeE5qVlVNelE0SURFNE1sUXpOVFFnTWpBMlZETTJNaUF5TXpoVU16Y3pJREk0TVZFME1ESWdNemsxSURRd05pQTBNRFJSTkRFNUlEUXpNU0EwTkRrZ05ETXhVVFEyT0NBME16RWdORGMxSURReU1WUTBPRE1nTkRBeVVUUTRNeUF6T0RrZ05EVTBJREkzTkZRME1qSWdNVFF5VVRReU1DQXhNekVnTkRJd0lERXdOMVl4TURCUk5ESXdJRGcxSURReU15QTNNVlEwTkRJZ05ESlVORGczSURJMlVUVTFPQ0F5TmlBMk1EQWdNVFE0VVRZd09TQXhOekVnTmpJd0lESXhNMVEyTXpJZ01qY3pVVFl6TWlBek1EWWdOakU1SURNeU5WUTFPVE1nTXpVM1ZEVTRNQ0F6T0RWYUlpOCtQSEJoZEdnZ2FXUTlJazFLV0MweUxWUkZXQzFKTFRGRU5EVXlJaUJrUFNKTk16a2dNVFk0VVRNNUlESXlOU0ExT0NBeU56SlVNVEEzSURNMU1GUXhOelFnTkRBeVZESTBOQ0EwTXpOVU16QTNJRFEwTWtnek1UQlJNelUxSURRME1pQXpPRGdnTkRJd1ZEUXlNU0F6TlRWUk5ESXhJREkyTlNBek1UQWdNak0zVVRJMk1TQXlNalFnTVRjMklESXlNMUV4TXprZ01qSXpJREV6T0NBeU1qRlJNVE00SURJeE9TQXhNeklnTVRnMlZERXlOU0F4TWpoUk1USTFJRGd4SURFME5pQTFORlF5TURrZ01qWlVNekF5SURRMVZETTVOQ0F4TVRGUk5EQXpJREV5TVNBME1EWWdNVEl4VVRReE1DQXhNakVnTkRFNUlERXhNbFEwTWprZ09UaFVOREl3SURneVZETTVNQ0ExTlZRek5EUWdNalJVTWpneElDMHhWREl3TlNBdE1URlJNVEkySUMweE1TQTRNeUEwTWxRek9TQXhOamhhVFRNM015QXpOVE5STXpZM0lEUXdOU0F6TURVZ05EQTFVVEkzTWlBME1EVWdNalEwSURNNU1WUXhPVGtnTXpVM1ZERTNNQ0F6TVRaVU1UVTBJREk0TUZReE5Ea2dNall4VVRFME9TQXlOakFnTVRZNUlESTJNRkV5T0RJZ01qWXdJRE15TnlBeU9EUlVNemN6SURNMU0xb2lMejQ4Y0dGMGFDQnBaRDBpVFVwWUxUSXRWRVZZTFVrdE1VUTBOVE1pSUdROUlrMHhNVGdnTFRFMk1sRXhNakFnTFRFMk1pQXhNalFnTFRFMk5GUXhNelVnTFRFMk4xUXhORGNnTFRFMk9GRXhOakFnTFRFMk9DQXhOekVnTFRFMU5WUXhPRGNnTFRFeU5sRXhPVGNnTFRrNUlESXlNU0F5TjFReU5qY2dNalkzVkRJNE9TQXpPREpXTXpnMVNESTBNbEV4T1RVZ016ZzFJREU1TWlBek9EZFJNVGc0SURNNU1DQXhPRGdnTXprM1RERTVOU0EwTWpWUk1UazNJRFF6TUNBeU1ETWdORE13VkRJMU1DQTBNekZSTWprNElEUXpNU0F5T1RnZ05ETXlVVEk1T0NBME16UWdNekEzSURRNE1sUXpNVGtnTlRRd1VUTTFOaUEzTURVZ05EWTFJRGN3TlZFMU1ESWdOekF6SURVeU5pQTJPRE5VTlRVd0lEWXpNRkUxTlRBZ05UazBJRFV5T1NBMU56aFVORGczSURVMk1WRTBORE1nTlRZeElEUTBNeUEyTUROUk5EUXpJRFl5TWlBME5UUWdOak0yVkRRM09DQTJOVGRNTkRnM0lEWTJNbEUwTnpFZ05qWTRJRFExTnlBMk5qaFJORFExSURZMk9DQTBNelFnTmpVNFZEUXhPU0EyTXpCUk5ERXlJRFl3TVNBME1ETWdOVFV5VkRNNE55QTBOamxVTXpnd0lEUXpNMUV6T0RBZ05ETXhJRFF6TlNBME16RlJORGd3SURRek1TQTBPRGNnTkRNd1ZEUTVPQ0EwTWpSUk5EazVJRFF5TUNBME9UWWdOREEzVkRRNU1TQXpPVEZSTkRnNUlETTROaUEwT0RJZ016ZzJWRFF5T0NBek9EVklNemN5VERNME9TQXlOak5STXpBeElERTFJREk0TWlBdE5EZFJNalUxSUMweE16SWdNakV5SUMweE56TlJNVGMxSUMweU1EVWdNVE01SUMweU1EVlJNVEEzSUMweU1EVWdPREVnTFRFNE5sUTFOU0F0TVRNeVVUVTFJQzA1TlNBM05pQXROemhVTVRFNElDMDJNVkV4TmpJZ0xUWXhJREUyTWlBdE1UQXpVVEUyTWlBdE1USXlJREUxTVNBdE1UTTJWREV5TnlBdE1UVTNUREV4T0NBdE1UWXlXaUl2UGp4d1lYUm9JR2xrUFNKTlNsZ3RNaTFVUlZndFRpMDJReUlnWkQwaVRUUXlJRFEyU0RVMlVUazFJRFEySURFd015QTJNRlkyT0ZFeE1ETWdOemNnTVRBeklEa3hWREV3TXlBeE1qUlVNVEEwSURFMk4xUXhNRFFnTWpFM1ZERXdOQ0F5TnpKVU1UQTBJRE15T1ZFeE1EUWdNelkySURFd05DQTBNRGRVTVRBMElEUTRNbFF4TURRZ05UUXlWREV3TXlBMU9EWlVNVEF6SURZd00xRXhNREFnTmpJeUlEZzVJRFl5T0ZRME5DQTJNemRJTWpaV05qWXdVVEkySURZNE15QXlPQ0EyT0ROTU16Z2dOamcwVVRRNElEWTROU0EyTnlBMk9EWlVNVEEwSURZNE9GRXhNakVnTmpnNUlERTBNU0EyT1RCVU1UY3hJRFk1TTFReE9ESWdOamswU0RFNE5WWXpOemxSTVRnMUlEWXlJREU0TmlBMk1GRXhPVEFnTlRJZ01UazRJRFE1VVRJeE9TQTBOaUF5TkRjZ05EWklNall6VmpCSU1qVTFUREl6TWlBeFVUSXdPU0F5SURFNE15QXlWREUwTlNBelZERXdOeUF6VkRVM0lERk1NelFnTUVneU5sWTBOa2cwTWxvaUx6NDhjR0YwYUNCcFpEMGlUVXBZTFRJdFZFVllMVTR0TmtVaUlHUTlJazAwTVNBME5rZzFOVkU1TkNBME5pQXhNRElnTmpCV05qaFJNVEF5SURjM0lERXdNaUE1TVZReE1ESWdNVEl5VkRFd015QXhOakZVTVRBeklESXdNMUV4TURNZ01qTTBJREV3TXlBeU5qbFVNVEF5SURNeU9GWXpOVEZST1RrZ016Y3dJRGc0SURNM05sUTBNeUF6T0RWSU1qVldOREE0VVRJMUlEUXpNU0F5TnlBME16Rk1NemNnTkRNeVVUUTNJRFF6TXlBMk5TQTBNelJVTVRBeUlEUXpObEV4TVRrZ05ETTNJREV6T0NBME16aFVNVFkzSURRME1WUXhOemdnTkRReVNERTRNVlkwTURKUk1UZ3hJRE0yTkNBeE9ESWdNelkwVkRFNE55QXpOamxVTVRrNUlETTRORlF5TVRnZ05EQXlWREkwTnlBME1qRlVNamcxSURRek4xRXpNRFVnTkRReUlETXpOaUEwTkRKUk5EVXdJRFF6T0NBME5qTWdNekk1VVRRMk5DQXpNaklnTkRZMElERTVNRll4TURSUk5EWTBJRFkySURRMk5pQTFPVlEwTnpjZ05EbFJORGs0SURRMklEVXlOaUEwTmtnMU5ESldNRWcxTXpSTU5URXdJREZSTkRnM0lESWdORFl3SURKVU5ESXlJRE5STXpFNUlETWdNekV3SURCSU16QXlWalEyU0RNeE9GRXpOemtnTkRZZ016YzVJRFl5VVRNNE1DQTJOQ0F6T0RBZ01qQXdVVE0zT1NBek16VWdNemM0SURNME0xRXpOeklnTXpjeElETTFPQ0F6T0RWVU16TTBJRFF3TWxRek1EZ2dOREEwVVRJMk15QTBNRFFnTWpJNUlETTNNRkV5TURJZ016UXpJREU1TlNBek1UVlVNVGczSURJek1sWXhOamhXTVRBNFVURTROeUEzT0NBeE9EZ2dOamhVTVRreElEVTFWREl3TUNBME9WRXlNakVnTkRZZ01qUTVJRFEyU0RJMk5WWXdTREkxTjB3eU16UWdNVkV5TVRBZ01pQXhPRE1nTWxReE5EVWdNMUUwTWlBeklETXpJREJJTWpWV05EWklOREZhSWk4K1BIQmhkR2dnYVdROUlrMUtXQzB5TFZSRldDMU9MVEl3TmpFaUlHUTlJaUl2UGp4d1lYUm9JR2xrUFNKTlNsZ3RNaTFVUlZndFV6UXRNak5CTVNJZ1pEMGlUVE14T1NBdE5qUTFWakV4TlRSSU5qWTJWakV3TnpCSU5EQXpWaTAyTkRWSU16RTVXaUl2UGp4d1lYUm9JR2xrUFNKTlNsZ3RNaTFVUlZndFV6UXRNak5CTXlJZ1pEMGlUVE14T1NBdE5qUTBWakV4TlRWSU5EQXpWaTAxTmpCSU5qWTJWaTAyTkRSSU16RTVXaUl2UGp4d1lYUm9JR2xrUFNKTlNsZ3RNaTFVUlZndFV6UXRNak5CTWlJZ1pEMGlUVE14T1NBd1ZqWXdNa2cwTUROV01FZ3pNVGxhSWk4K1BIQmhkR2dnYVdROUlrMUtXQzB5TFZSRldDMUpMVEZFTnpCQ0lpQmtQU0pOTVRNeUlDMHhNVkU1T0NBdE1URWdPVGdnTWpKV016Tk1NVEV4SURZeFVURTROaUF5TVRrZ01qSXdJRE16TkV3eU1qZ2dNelU0U0RFNU5sRXhOVGdnTXpVNElERTBNaUF6TlRWVU1UQXpJRE16TmxFNU1pQXpNamtnT0RFZ016RTRWRFl5SURJNU4xUTFNeUF5T0RWUk5URWdNamcwSURNNElESTRORkV4T1NBeU9EUWdNVGtnTWprMFVURTVJRE13TUNBek9DQXpNamxVT1RNZ016a3hWREUyTkNBME1qbFJNVGN4SURRek1TQXpPRGtnTkRNeFVUVTBPU0EwTXpFZ05UVXpJRFF6TUZFMU56TWdOREl6SURVM015QTBNREpSTlRjeklETTNNU0ExTkRFZ016WXdVVFV6TlNBek5UZ2dORGN5SURNMU9FZzBNRGhNTkRBMUlETTBNVkV6T1RNZ01qWTVJRE01TXlBeU1qSlJNemt6SURFM01DQTBNRElnTVRJNVZEUXlNU0EyTlZRME16RWdNemRSTkRNeElESXdJRFF4TnlBMVZETTRNU0F0TVRCUk16Y3dJQzB4TUNBek5qTWdMVGRVTXpRM0lERTNWRE16TVNBM04xRXpNekFnT0RZZ016TXdJREV5TVZFek16QWdNVGN3SURNek9TQXlNalpVTXpVM0lETXhPRlF6TmpjZ016VTRTREkyT1V3eU5qZ2dNelUwVVRJMk9DQXpOVEVnTWpRNUlESTNOVlF5TURZZ01URTBWREUzTlNBeE4xRXhOalFnTFRFeElERXpNaUF0TVRGYUlpOCtQSEJoZEdnZ2FXUTlJazFLV0MweUxWUkZXQzFPTFRZeklpQmtQU0pOTXpjd0lETXdOVlF6TkRrZ016QTFWRE14TXlBek1qQlVNamszSURNMU9GRXlPVGNnTXpneElETXhNaUF6T1RaUk16RTNJRFF3TVNBek1UY2dOREF5VkRNd055QTBNRFJSTWpneElEUXdPQ0F5TlRnZ05EQTRVVEl3T1NBME1EZ2dNVGM0SURNM05sRXhNekVnTXpJNUlERXpNU0F5TVRsUk1UTXhJREV6TnlBeE5qSWdPVEJSTWpBeklESTVJREkzTWlBeU9WRXpNVE1nTWprZ016TTRJRFUxVkRNM05DQXhNVGRSTXpjMklERXlOU0F6TnprZ01USTNWRE01TlNBeE1qbElOREE1VVRReE5TQXhNak1nTkRFMUlERXlNRkUwTVRVZ01URTJJRFF4TVNBeE1EUlVNemsxSURjeFZETTJOaUF6TTFRek1UZ2dNbFF5TkRrZ0xURXhVVEUyTXlBdE1URWdPVGtnTlROVU16UWdNakUwVVRNMElETXhPQ0E1T1NBek9ETlVNalV3SURRME9GUXpOekFnTkRJeFZEUXdOQ0F6TlRkUk5EQTBJRE16TkNBek9EY2dNekl3V2lJdlBqeHdZWFJvSUdsa1BTSk5TbGd0TWkxVVJWZ3RUaTAyUmlJZ1pEMGlUVEk0SURJeE5GRXlPQ0F6TURrZ09UTWdNemM0VkRJMU1DQTBORGhSTXpRd0lEUTBPQ0EwTURVZ016Z3dWRFEzTVNBeU1UVlJORGN4SURFeU1DQTBNRGNnTlRWVU1qVXdJQzB4TUZFeE5UTWdMVEV3SURreElEVTNWREk0SURJeE5GcE5NalV3SURNd1VUTTNNaUF6TUNBek56SWdNVGt6VmpJeU5WWXlOVEJSTXpjeUlESTNNaUF6TnpFZ01qZzRWRE0yTkNBek1qWlVNelE0SURNMk1sUXpNVGNnTXprd1ZESTJPQ0EwTVRCUk1qWXpJRFF4TVNBeU5USWdOREV4VVRJeU1pQTBNVEVnTVRrMUlETTVPVkV4TlRJZ016YzNJREV6T1NBek16aFVNVEkySURJME5sWXlNalpSTVRJMklERXpNQ0F4TkRVZ09URlJNVGMzSURNd0lESTFNQ0F6TUZvaUx6NDhjR0YwYUNCcFpEMGlUVXBZTFRJdFZFVllMVTR0TnpNaUlHUTlJazB5T1RVZ016RTJVVEk1TlNBek5UWWdNalk0SURNNE5WUXhPVEFnTkRFMFVURTFOQ0EwTVRRZ01USTRJRFF3TVZFNU9DQXpPRElnT1RnZ016UTVVVGszSURNME5DQTVPQ0F6TXpaVU1URTBJRE14TWxReE5UY2dNamczVVRFM05TQXlPRElnTWpBeElESTNPRlF5TkRVZ01qWTVWREkzTnlBeU5UWlJNamswSURJME9DQXpNVEFnTWpNMlZETTBNaUF4T1RWVU16VTVJREV6TTFFek5Ua2dOekVnTXpJeElETXhWREU1T0NBdE1UQklNVGt3VVRFek9DQXRNVEFnT1RRZ01qWk1PRFlnTVRsTU56Y2dNVEJSTnpFZ05DQTJOU0F0TVV3MU5DQXRNVEZJTkRaSU5ESlJNemtnTFRFeElETXpJQzAxVmpjMFZqRXpNbEV6TXlBeE5UTWdNelVnTVRVM1ZEUTFJREUyTWtnMU5GRTJOaUF4TmpJZ056QWdNVFU0VkRjMUlERTBObFE0TWlBeE1UbFVNVEF4SURjM1VURXpOaUF5TmlBeE9UZ2dNalpSTWprMUlESTJJREk1TlNBeE1EUlJNamsxSURFek15QXlOemNnTVRVeFVUSTFOeUF4TnpVZ01UazBJREU0TjFReE1URWdNakV3VVRjMUlESXlOeUExTkNBeU5UWlVNek1nTXpFNFVUTXpJRE0xTnlBMU1DQXpPRFJVT1RNZ05ESTBWREUwTXlBME5ESlVNVGczSURRME4wZ3hPVGhSTWpNNElEUTBOeUF5TmpnZ05ETXlUREk0TXlBME1qUk1Namt5SURRek1WRXpNRElnTkRRd0lETXhOQ0EwTkRoSU16SXlTRE15TmxFek1qa2dORFE0SURNek5TQTBOREpXTXpFd1RETXlPU0F6TURSSU16QXhVVEk1TlNBek1UQWdNamsxSURNeE5sb2lMejQ4Y0dGMGFDQnBaRDBpVFVwWUxUSXRWRVZZTFZOUExUSTRJaUJrUFNKTk1UVXlJREkxTVZFeE5USWdOalEySURNNE9DQTROVEJJTkRFMlVUUXlNaUE0TkRRZ05ESXlJRGcwTVZFME1qSWdPRE0zSURRd015QTRNVFpVTXpVM0lEYzFNMVF6TURJZ05qUTVWREkxTlNBME9ESlVNak0ySURJMU1GRXlNellnTVRJMElESTFOU0F4T1ZRek1ERWdMVEUwTjFRek5UWWdMVEkxTVZRME1ETWdMVE14TlZRME1qSWdMVE0wTUZFME1qSWdMVE0wTXlBME1UWWdMVE0wT1Vnek9EaFJNelU1SUMwek1qVWdNek15SUMweU9UWlVNamN4SUMweU1UTlVNakV5SUMwNU4xUXhOekFnTlRaVU1UVXlJREkxTVZvaUx6NDhjR0YwYUNCcFpEMGlUVXBZTFRJdFZFVllMVk5QTFRJNUlpQmtQU0pOTXpBMUlESTFNVkV6TURVZ0xURTBOU0EyT1NBdE16UTVTRFUyVVRReklDMHpORGtnTXprZ0xUTTBOMVF6TlNBdE16TTRVVE0zSUMwek16TWdOakFnTFRNd04xUXhNRGdnTFRJek9WUXhOakFnTFRFek5sUXlNRFFnTWpkVU1qSXhJREkxTUZReU1EUWdORGN6VkRFMk1DQTJNelpVTVRBNElEYzBNRlEyTUNBNE1EZFVNelVnT0RNNVVUTTFJRGcxTUNBMU1DQTROVEJJTlRaSU5qbFJNVGszSURjME15QXlOVFlnTlRZMlVUTXdOU0EwTWpVZ016QTFJREkxTVZvaUx6NDhjR0YwYUNCcFpEMGlUVXBZTFRJdFZFVllMVTR0TWtJaUlHUTlJazAxTmlBeU16ZFVOVFlnTWpVd1ZEY3dJREkzTUVnek5qbFdOREl3VERNM01DQTFOekJSTXpnd0lEVTRNeUF6T0RrZ05UZ3pVVFF3TWlBMU9ETWdOREE1SURVMk9GWXlOekJJTnpBM1VUY3lNaUF5TmpJZ056SXlJREkxTUZRM01EY2dNak13U0RRd09WWXROamhSTkRBeElDMDRNaUF6T1RFZ0xUZ3lTRE00T1Vnek9EZFJNemMxSUMwNE1pQXpOamtnTFRZNFZqSXpNRWczTUZFMU5pQXlNemNnTlRZZ01qVXdXaUl2UGp4d1lYUm9JR2xrUFNKTlNsZ3RNaTFVUlZndFRpMDJPU0lnWkQwaVRUWTVJRFl3T1ZFMk9TQTJNemNnT0RjZ05qVXpWREV6TVNBMk5qbFJNVFUwSURZMk55QXhOekVnTmpVeVZERTRPQ0EyTURsUk1UZzRJRFUzT1NBeE56RWdOVFkwVkRFeU9TQTFORGxSTVRBMElEVTBPU0E0TnlBMU5qUlVOamtnTmpBNVdrMHlORGNnTUZFeU16SWdNeUF4TkRNZ00xRXhNeklnTXlBeE1EWWdNMVExTmlBeFRETTBJREJJTWpaV05EWklOREpSTnpBZ05EWWdPVEVnTkRsUk1UQXdJRFV6SURFd01pQTJNRlF4TURRZ01UQXlWakl3TlZZeU9UTlJNVEEwSURNME5TQXhNRElnTXpVNVZEZzRJRE0zT0ZFM05DQXpPRFVnTkRFZ016ZzFTRE13VmpRd09GRXpNQ0EwTXpFZ016SWdORE14VERReUlEUXpNbEUxTWlBME16TWdOekFnTkRNMFZERXdOaUEwTXpaUk1USXpJRFF6TnlBeE5ESWdORE00VkRFM01TQTBOREZVTVRneUlEUTBNa2d4T0RWV05qSlJNVGt3SURVeUlERTVOeUExTUZReU16SWdORFpJTWpVMVZqQklNalEzV2lJdlBqeHdZWFJvSUdsa1BTSk5TbGd0TWkxVVJWZ3RURTh0TWpnaUlHUTlJazB4T0RBZ09UWlVNVGd3SURJMU1GUXlNRFVnTlRReFZESTJOaUEzTnpCVU16VXpJRGswTkZRME5EUWdNVEEyT1ZRMU1qY2dNVEUxTUVnMU5UVlJOVFl4SURFeE5EUWdOVFl4SURFeE5ERlJOVFl4SURFeE16Y2dOVFExSURFeE1qQlVOVEEwSURFd056SlVORFEzSURrNU5WUXpPRFlnT0RjNFZETXpNQ0EzTWpGVU1qZzRJRFV4TTFReU56SWdNalV4VVRJM01pQXhNek1nTWpnd0lEVTJVVEk1TXlBdE9EY2dNekkySUMweU1EbFVNems1SUMwME1EVlVORGMxSUMwMU16RlVOVE0ySUMwMk1EbFVOVFl4SUMwMk5EQlJOVFl4SUMwMk5ETWdOVFUxSUMwMk5EbElOVEkzVVRRNE15QXROakV5SURRME15QXROVFk0VkRNMU15QXRORFF6VkRJMk5pQXRNamN3VkRJd05TQXROREZhSWk4K1BIQmhkR2dnYVdROUlrMUtXQzB5TFZSRldDMU1UeTB5T1NJZ1pEMGlUVE0xSURFeE16aFJNelVnTVRFMU1DQTFNU0F4TVRVd1NEVTJTRFk1VVRFeE15QXhNVEV6SURFMU15QXhNRFk1VkRJME15QTVORFJVTXpNd0lEYzNNVlF6T1RFZ05UUXhWRFF4TmlBeU5UQlVNemt4SUMwME1GUXpNekFnTFRJM01GUXlORE1nTFRRME0xUXhOVElnTFRVMk9GUTJPU0F0TmpRNVNEVTJVVFF6SUMwMk5Ea2dNemtnTFRZME4xUXpOU0F0TmpNM1VUWTFJQzAyTURjZ01URXdJQzAxTkRoUk1qZ3pJQzB6TVRZZ016RTJJRFUyVVRNeU5DQXhNek1nTXpJMElESTFNVkV6TWpRZ016WTRJRE14TmlBME5EVlJNamM0SURnM055QTBPQ0F4TVRJelVUTTJJREV4TXpjZ016VWdNVEV6T0ZvaUx6NDhjR0YwYUNCcFpEMGlUVXBZTFRJdFZFVllMVk0wTFRJelFUUWlJR1E5SWswd0lERXdOekJXTVRFMU5FZ3pORGRXTFRZME5VZ3lOak5XTVRBM01FZ3dXaUl2UGp4d1lYUm9JR2xrUFNKTlNsZ3RNaTFVUlZndFV6UXRNak5CTmlJZ1pEMGlUVEkyTXlBdE5UWXdWakV4TlRWSU16UTNWaTAyTkRSSU1GWXROVFl3U0RJMk0xb2lMejQ4Y0dGMGFDQnBaRDBpVFVwWUxUSXRWRVZZTFZNMExUSXpRVFVpSUdROUlrMHlOak1nTUZZMk1ESklNelEzVmpCSU1qWXpXaUl2UGp3dlpHVm1jejQ4WnlCemRISnZhMlU5SW1OMWNuSmxiblJEYjJ4dmNpSWdabWxzYkQwaVkzVnljbVZ1ZEVOdmJHOXlJaUJ6ZEhKdmEyVXRkMmxrZEdnOUlqQWlJSFJ5WVc1elptOXliVDBpYzJOaGJHVW9NU3d0TVNraVBqeG5JR1JoZEdFdGJXMXNMVzV2WkdVOUltMWhkR2dpUGp4bklHUmhkR0V0Ylcxc0xXNXZaR1U5SW0xemRXSWlQanhuSUdSaGRHRXRiVzFzTFc1dlpHVTlJbTFwSWo0OGRYTmxJR1JoZEdFdFl6MGlNVVEwTlVVaUlIaHNhVzVyT21oeVpXWTlJaU5OU2xndE1pMVVSVmd0U1MweFJEUTFSU0l2UGp3dlp6NDhaeUJrWVhSaExXMXRiQzF1YjJSbFBTSnRiaUlnZEhKaGJuTm1iM0p0UFNKMGNtRnVjMnhoZEdVb05EYzVMQzB4TlRBcElITmpZV3hsS0RBdU56QTNLU0krUEhWelpTQmtZWFJoTFdNOUlqTXlJaUI0YkdsdWF6cG9jbVZtUFNJalRVcFlMVEl0VkVWWUxVNHRNeklpTHo0OEwyYytQQzluUGp4bklHUmhkR0V0Ylcxc0xXNXZaR1U5SW0xdklpQjBjbUZ1YzJadmNtMDlJblJ5WVc1emJHRjBaU2d4TVRZd0xqTXNNQ2tpUGp4MWMyVWdaR0YwWVMxalBTSXpSQ0lnZUd4cGJtczZhSEpsWmowaUkwMUtXQzB5TFZSRldDMU9MVE5FSWk4K1BDOW5QanhuSUdSaGRHRXRiVzFzTFc1dlpHVTlJbTF1SWlCMGNtRnVjMlp2Y20wOUluUnlZVzV6YkdGMFpTZ3lNakUyTGpFc01Da2lQangxYzJVZ1pHRjBZUzFqUFNJek1TSWdlR3hwYm1zNmFISmxaajBpSTAxS1dDMHlMVlJGV0MxT0xUTXhJaTgrUEM5blBqeG5JR1JoZEdFdGJXMXNMVzV2WkdVOUltMXZJaUIwY21GdWMyWnZjbTA5SW5SeVlXNXpiR0YwWlNneU9UTTRMak1zTUNraVBqeDFjMlVnWkdGMFlTMWpQU0l5TWpFeUlpQjRiR2x1YXpwb2NtVm1QU0lqVFVwWUxUSXRWRVZZTFU0dE1qSXhNaUl2UGp3dlp6NDhaeUJrWVhSaExXMXRiQzF1YjJSbFBTSnRjM1ZpSWlCMGNtRnVjMlp2Y20wOUluUnlZVzV6YkdGMFpTZ3pPVE00TGpZc01Da2lQanhuSUdSaGRHRXRiVzFzTFc1dlpHVTlJbTFwSWo0OGRYTmxJR1JoZEdFdFl6MGlNVVEwTlVVaUlIaHNhVzVyT21oeVpXWTlJaU5OU2xndE1pMVVSVmd0U1MweFJEUTFSU0l2UGp3dlp6NDhaeUJrWVhSaExXMXRiQzF1YjJSbFBTSnRiaUlnZEhKaGJuTm1iM0p0UFNKMGNtRnVjMnhoZEdVb05EYzVMQzB4TlRBcElITmpZV3hsS0RBdU56QTNLU0krUEhWelpTQmtZWFJoTFdNOUlqTXhJaUI0YkdsdWF6cG9jbVZtUFNJalRVcFlMVEl0VkVWWUxVNHRNekVpTHo0OEwyYytQQzluUGp4bklHUmhkR0V0Ylcxc0xXNXZaR1U5SW0xdklpQjBjbUZ1YzJadmNtMDlJblJ5WVc1emJHRjBaU2cxTURRekxqTXNNQ2tpUGp4MWMyVWdaR0YwWVMxalBTSXlNakV5SWlCNGJHbHVhenBvY21WbVBTSWpUVXBZTFRJdFZFVllMVTR0TWpJeE1pSXZQand2Wno0OFp5QmtZWFJoTFcxdGJDMXViMlJsUFNKdFpuSmhZeUlnZEhKaGJuTm1iM0p0UFNKMGNtRnVjMnhoZEdVb05qQTBNeTQyTERBcElqNDhaeUJrWVhSaExXMXRiQzF1YjJSbFBTSnRiaUlnZEhKaGJuTm1iM0p0UFNKMGNtRnVjMnhoZEdVb01qSXdMRFkzTmlraVBqeDFjMlVnWkdGMFlTMWpQU0l6TVNJZ2VHeHBibXM2YUhKbFpqMGlJMDFLV0MweUxWUkZXQzFPTFRNeElpOCtQQzluUGp4bklHUmhkR0V0Ylcxc0xXNXZaR1U5SW0xdUlpQjBjbUZ1YzJadmNtMDlJblJ5WVc1emJHRjBaU2d5TWpBc0xUWTROaWtpUGp4MWMyVWdaR0YwWVMxalBTSXpNaUlnZUd4cGJtczZhSEpsWmowaUkwMUtXQzB5TFZSRldDMU9MVE15SWk4K1BDOW5Qanh5WldOMElIZHBaSFJvUFNJM01EQWlJR2hsYVdkb2REMGlOakFpSUhnOUlqRXlNQ0lnZVQwaU1qSXdJaTgrUEM5blBqeG5JR1JoZEdFdGJXMXNMVzV2WkdVOUltMXZJaUIwY21GdWMyWnZjbTA5SW5SeVlXNXpiR0YwWlNnM01qQTFMamdzTUNraVBqeDFjMlVnWkdGMFlTMWpQU0l5TWtNMUlpQjRiR2x1YXpwb2NtVm1QU0lqVFVwWUxUSXRWRVZZTFU0dE1qSkROU0l2UGp3dlp6NDhaeUJrWVhSaExXMXRiQzF1YjJSbFBTSnRabkpoWXlJZ2RISmhibk5tYjNKdFBTSjBjbUZ1YzJ4aGRHVW9OemN3Tml3d0tTSStQR2NnWkdGMFlTMXRiV3d0Ym05a1pUMGliWEp2ZHlJZ2RISmhibk5tYjNKdFBTSjBjbUZ1YzJ4aGRHVW9Nakl3TERZM05pa2lQanhuSUdSaGRHRXRiVzFzTFc1dlpHVTlJbTFwSWo0OGRYTmxJR1JoZEdFdFl6MGlNakV3UlNJZ2VHeHBibXM2YUhKbFpqMGlJMDFLV0MweUxWUkZXQzFKTFRJeE1FVWlMejQ4TDJjK1BHY2daR0YwWVMxdGJXd3RibTlrWlQwaWJXOGlJSFJ5WVc1elptOXliVDBpZEhKaGJuTnNZWFJsS0RjNU9DNHlMREFwSWo0OGRYTmxJR1JoZEdFdFl6MGlNakl4TWlJZ2VHeHBibXM2YUhKbFpqMGlJMDFLV0MweUxWUkZXQzFPTFRJeU1USWlMejQ4TDJjK1BHY2daR0YwWVMxdGJXd3RibTlrWlQwaWJYTjFZaUlnZEhKaGJuTm1iM0p0UFNKMGNtRnVjMnhoZEdVb01UYzVPQzQwTERBcElqNDhaeUJrWVhSaExXMXRiQzF1YjJSbFBTSnRhU0krUEhWelpTQmtZWFJoTFdNOUlqRkVORFl6SWlCNGJHbHVhenBvY21WbVBTSWpUVXBZTFRJdFZFVllMVWt0TVVRME5qTWlMejQ4TDJjK1BHY2daR0YwWVMxdGJXd3RibTlrWlQwaVZHVllRWFJ2YlNJZ2RISmhibk5tYjNKdFBTSjBjbUZ1YzJ4aGRHVW9OVEU0TEMweE5UQXBJSE5qWVd4bEtEQXVOekEzS1NJZ1pHRjBZUzF0YW5ndGRHVjRZMnhoYzNNOUlrOVNSQ0krUEdjZ1pHRjBZUzF0Yld3dGJtOWtaVDBpYldraVBqeDFjMlVnWkdGMFlTMWpQU0l5TVRFeklpQjRiR2x1YXpwb2NtVm1QU0lqVFVwWUxUSXRWRVZZTFVrdE1qRXhNeUl2UGp3dlp6NDhMMmMrUEM5blBqd3ZaejQ4WnlCa1lYUmhMVzF0YkMxdWIyUmxQU0p0YzNWaUlpQjBjbUZ1YzJadmNtMDlJblJ5WVc1emJHRjBaU2czT1RFdU9Td3ROamcyS1NJK1BHY2daR0YwWVMxdGJXd3RibTlrWlQwaWJXa2lQangxYzJVZ1pHRjBZUzFqUFNJeFJEUTJOQ0lnZUd4cGJtczZhSEpsWmowaUkwMUtXQzB5TFZSRldDMUpMVEZFTkRZMElpOCtQQzluUGp4bklHUmhkR0V0Ylcxc0xXNXZaR1U5SWxSbFdFRjBiMjBpSUhSeVlXNXpabTl5YlQwaWRISmhibk5zWVhSbEtEYzBPU3d0TVRVd0tTQnpZMkZzWlNnd0xqY3dOeWtpSUdSaGRHRXRiV3A0TFhSbGVHTnNZWE56UFNKUFVrUWlQanhuSUdSaGRHRXRiVzFzTFc1dlpHVTlJbTFwSWo0OGRYTmxJR1JoZEdFdFl6MGlNVVEwTlRJaUlIaHNhVzVyT21oeVpXWTlJaU5OU2xndE1pMVVSVmd0U1MweFJEUTFNaUl2UGp3dlp6NDhaeUJrWVhSaExXMXRiQzF1YjJSbFBTSnRhU0lnZEhKaGJuTm1iM0p0UFNKMGNtRnVjMnhoZEdVb05EWTJMREFwSWo0OGRYTmxJR1JoZEdFdFl6MGlNVVEwTlRNaUlIaHNhVzVyT21oeVpXWTlJaU5OU2xndE1pMVVSVmd0U1MweFJEUTFNeUl2UGp3dlp6NDhMMmMrUEM5blBqeHlaV04wSUhkcFpIUm9QU0l5T0RZeExqTWlJR2hsYVdkb2REMGlOakFpSUhnOUlqRXlNQ0lnZVQwaU1qSXdJaTgrUEM5blBqeG5JR1JoZEdFdGJXMXNMVzV2WkdVOUltMXZJaUIwY21GdWMyWnZjbTA5SW5SeVlXNXpiR0YwWlNneE1UQXlPUzQxTERBcElqNDhkWE5sSUdSaGRHRXRZejBpTWpKRE5TSWdlR3hwYm1zNmFISmxaajBpSTAxS1dDMHlMVlJGV0MxT0xUSXlRelVpTHo0OEwyYytQR2NnWkdGMFlTMXRiV3d0Ym05a1pUMGliV2tpSUhSeVlXNXpabTl5YlQwaWRISmhibk5zWVhSbEtERXhOVEk1TGpjc01Da2lQangxYzJVZ1pHRjBZUzFqUFNJMlF5SWdlR3hwYm1zNmFISmxaajBpSTAxS1dDMHlMVlJGV0MxT0xUWkRJaTgrUEhWelpTQmtZWFJoTFdNOUlqWkZJaUI0YkdsdWF6cG9jbVZtUFNJalRVcFlMVEl0VkVWWUxVNHROa1VpSUhSeVlXNXpabTl5YlQwaWRISmhibk5zWVhSbEtESTNPQ3d3S1NJdlBqd3ZaejQ4WnlCa1lYUmhMVzF0YkMxdWIyUmxQU0p0YnlJZ2RISmhibk5tYjNKdFBTSjBjbUZ1YzJ4aGRHVW9NVEl6TmpNdU55d3dLU0krUEhWelpTQmtZWFJoTFdNOUlqSXdOakVpSUhoc2FXNXJPbWh5WldZOUlpTk5TbGd0TWkxVVJWZ3RUaTB5TURZeElpOCtQQzluUGp4bklHUmhkR0V0Ylcxc0xXNXZaR1U5SW0xeWIzY2lJSFJ5WVc1elptOXliVDBpZEhKaGJuTnNZWFJsS0RFeU5UTXdMalFzTUNraVBqeG5JR1JoZEdFdGJXMXNMVzV2WkdVOUltMXZJajQ4ZFhObElHUmhkR0V0WXowaU1qTkJNU0lnZUd4cGJtczZhSEpsWmowaUkwMUtXQzB5TFZSRldDMVROQzB5TTBFeElpQjBjbUZ1YzJadmNtMDlJblJ5WVc1emJHRjBaU2d3TERFeE1EVXBJaTgrUEhWelpTQmtZWFJoTFdNOUlqSXpRVE1pSUhoc2FXNXJPbWh5WldZOUlpTk5TbGd0TWkxVVJWZ3RVelF0TWpOQk15SWdkSEpoYm5ObWIzSnRQU0owY21GdWMyeGhkR1VvTUN3dE1URXhOU2tpTHo0OGMzWm5JSGRwWkhSb1BTSTJOamNpSUdobGFXZG9kRDBpTmpJd0lpQjVQU0l0TmpBaUlIZzlJakFpSUhacFpYZENiM2c5SWpBZ01UVTFJRFkyTnlBMk1qQWlQangxYzJVZ1pHRjBZUzFqUFNJeU0wRXlJaUI0YkdsdWF6cG9jbVZtUFNJalRVcFlMVEl0VkVWWUxWTTBMVEl6UVRJaUlIUnlZVzV6Wm05eWJUMGljMk5oYkdVb01Td3hMalUwTlNraUx6NDhMM04yWno0OEwyYytQR2NnWkdGMFlTMXRiV3d0Ym05a1pUMGliV1p5WVdNaUlIUnlZVzV6Wm05eWJUMGlkSEpoYm5Oc1lYUmxLRFkyTnl3d0tTSStQR2NnWkdGMFlTMXRiV3d0Ym05a1pUMGliWEp2ZHlJZ2RISmhibk5tYjNKdFBTSjBjbUZ1YzJ4aGRHVW9Nakl3TERneE1pNDRLU0krUEdjZ1pHRjBZUzF0Yld3dGJtOWtaVDBpYldaeVlXTWlQanhuSUdSaGRHRXRiVzFzTFc1dlpHVTlJbTF5YjNjaUlIUnlZVzV6Wm05eWJUMGlkSEpoYm5Oc1lYUmxLREl5TUN3MU5EZ3VOaWtnYzJOaGJHVW9NQzQzTURjcElqNDhaeUJrWVhSaExXMXRiQzF1YjJSbFBTSnRhU0krUEhWelpTQmtZWFJoTFdNOUlqRkVOekJDSWlCNGJHbHVhenBvY21WbVBTSWpUVXBZTFRJdFZFVllMVWt0TVVRM01FSWlMejQ4TDJjK1BHY2daR0YwWVMxdGJXd3RibTlrWlQwaWJYTjFZaUlnZEhKaGJuTm1iM0p0UFNKMGNtRnVjMnhoZEdVb05UY3dMREFwSWo0OFp5QmtZWFJoTFcxdGJDMXViMlJsUFNKdGFTSStQSFZ6WlNCa1lYUmhMV005SWpGRU5EWTBJaUI0YkdsdWF6cG9jbVZtUFNJalRVcFlMVEl0VkVWWUxVa3RNVVEwTmpRaUx6NDhMMmMrUEdjZ1pHRjBZUzF0Yld3dGJtOWtaVDBpVkdWWVFYUnZiU0lnZEhKaGJuTm1iM0p0UFNKMGNtRnVjMnhoZEdVb056UTVMQzB4TlRBcElITmpZV3hsS0RBdU56QTNLU0lnWkdGMFlTMXRhbmd0ZEdWNFkyeGhjM005SWs5U1JDSStQR2NnWkdGMFlTMXRiV3d0Ym05a1pUMGliV2tpUGp4MWMyVWdaR0YwWVMxalBTSXhSRFExTWlJZ2VHeHBibXM2YUhKbFpqMGlJMDFLV0MweUxWUkZXQzFKTFRGRU5EVXlJaTgrUEM5blBqeG5JR1JoZEdFdGJXMXNMVzV2WkdVOUltMXBJaUIwY21GdWMyWnZjbTA5SW5SeVlXNXpiR0YwWlNnME5qWXNNQ2tpUGp4MWMyVWdaR0YwWVMxalBTSXhSRFExTXlJZ2VHeHBibXM2YUhKbFpqMGlJMDFLV0MweUxWUkZXQzFKTFRGRU5EVXpJaTgrUEM5blBqd3ZaejQ4TDJjK1BDOW5QanhuSUdSaGRHRXRiVzFzTFc1dlpHVTlJbTFwSWlCMGNtRnVjMlp2Y20wOUluUnlZVzV6YkdGMFpTZzNOVFF1TkN3dE16UTFLU0J6WTJGc1pTZ3dMamN3TnlraVBqeDFjMlVnWkdGMFlTMWpQU0l5TVRCRklpQjRiR2x1YXpwb2NtVm1QU0lqVFVwWUxUSXRWRVZZTFVrdE1qRXdSU0l2UGp3dlp6NDhjbVZqZENCM2FXUjBhRDBpTVRZM05pSWdhR1ZwWjJoMFBTSTJNQ0lnZUQwaU1USXdJaUI1UFNJeU1qQWlMejQ4TDJjK1BHY2daR0YwWVMxdGJXd3RibTlrWlQwaWJXOGlJSFJ5WVc1elptOXliVDBpZEhKaGJuTnNZWFJsS0RJeE16Z3VNeXd3S1NJK1BIVnpaU0JrWVhSaExXTTlJakl5UXpVaUlIaHNhVzVyT21oeVpXWTlJaU5OU2xndE1pMVVSVmd0VGkweU1rTTFJaTgrUEM5blBqeG5JR1JoZEdFdGJXMXNMVzV2WkdVOUltMXBJaUIwY21GdWMyWnZjbTA5SW5SeVlXNXpiR0YwWlNneU5qTTRMalVzTUNraVBqeDFjMlVnWkdGMFlTMWpQU0kyTXlJZ2VHeHBibXM2YUhKbFpqMGlJMDFLV0MweUxWUkZXQzFPTFRZeklpOCtQSFZ6WlNCa1lYUmhMV005SWpaR0lpQjRiR2x1YXpwb2NtVm1QU0lqVFVwWUxUSXRWRVZZTFU0dE5rWWlJSFJ5WVc1elptOXliVDBpZEhKaGJuTnNZWFJsS0RRME5Dd3dLU0l2UGp4MWMyVWdaR0YwWVMxalBTSTNNeUlnZUd4cGJtczZhSEpsWmowaUkwMUtXQzB5TFZSRldDMU9MVGN6SWlCMGNtRnVjMlp2Y20wOUluUnlZVzV6YkdGMFpTZzVORFFzTUNraUx6NDhMMmMrUEdjZ1pHRjBZUzF0Yld3dGJtOWtaVDBpYlc4aUlIUnlZVzV6Wm05eWJUMGlkSEpoYm5Oc1lYUmxLRE01TnpZdU5Td3dLU0krUEhWelpTQmtZWFJoTFdNOUlqSXdOakVpSUhoc2FXNXJPbWh5WldZOUlpTk5TbGd0TWkxVVJWZ3RUaTB5TURZeElpOCtQQzluUGp4bklHUmhkR0V0Ylcxc0xXNXZaR1U5SW0xeWIzY2lJSFJ5WVc1elptOXliVDBpZEhKaGJuTnNZWFJsS0RReE5ETXVNU3d3S1NJK1BHY2daR0YwWVMxdGJXd3RibTlrWlQwaWJXOGlJSFJ5WVc1elptOXliVDBpZEhKaGJuTnNZWFJsS0RBZ0xUQXVOU2tpUGp4MWMyVWdaR0YwWVMxalBTSXlPQ0lnZUd4cGJtczZhSEpsWmowaUkwMUtXQzB5TFZSRldDMVRUeTB5T0NJdlBqd3ZaejQ4WnlCa1lYUmhMVzF0YkMxdWIyUmxQU0p0Wm5KaFl5SWdkSEpoYm5ObWIzSnRQU0owY21GdWMyeGhkR1VvTkRVNExEQXBJajQ4WnlCa1lYUmhMVzF0YkMxdWIyUmxQU0p0YzNWaUlpQjBjbUZ1YzJadmNtMDlJblJ5WVc1emJHRjBaU2d5TWpBc05EVTJMakVwSUhOallXeGxLREF1TnpBM0tTSStQR2NnWkdGMFlTMXRiV3d0Ym05a1pUMGliV2tpUGp4MWMyVWdaR0YwWVMxalBTSXhSRFEyTXlJZ2VHeHBibXM2YUhKbFpqMGlJMDFLV0MweUxWUkZXQzFKTFRGRU5EWXpJaTgrUEM5blBqeG5JR1JoZEdFdGJXMXNMVzV2WkdVOUlsUmxXRUYwYjIwaUlIUnlZVzV6Wm05eWJUMGlkSEpoYm5Oc1lYUmxLRFV4T0N3dE1UVXdLU0J6WTJGc1pTZ3dMamN3TnlraUlHUmhkR0V0YldwNExYUmxlR05zWVhOelBTSlBVa1FpUGp4bklHUmhkR0V0Ylcxc0xXNXZaR1U5SW0xcElqNDhkWE5sSUdSaGRHRXRZejBpTWpFeE15SWdlR3hwYm1zNmFISmxaajBpSTAxS1dDMHlMVlJGV0MxSkxUSXhNVE1pTHo0OEwyYytQQzluUGp3dlp6NDhaeUJrWVhSaExXMXRiQzF1YjJSbFBTSnRiaUlnZEhKaGJuTm1iM0p0UFNKMGNtRnVjMnhoZEdVb016UTRMak1zTFRNME5Ta2djMk5oYkdVb01DNDNNRGNwSWo0OGRYTmxJR1JoZEdFdFl6MGlNeklpSUhoc2FXNXJPbWh5WldZOUlpTk5TbGd0TWkxVVJWZ3RUaTB6TWlJdlBqd3ZaejQ4Y21WamRDQjNhV1IwYUQwaU9ERXdMakVpSUdobGFXZG9kRDBpTmpBaUlIZzlJakV5TUNJZ2VUMGlNakl3SWk4K1BDOW5QanhuSUdSaGRHRXRiVzFzTFc1dlpHVTlJbTF2SWlCMGNtRnVjMlp2Y20wOUluUnlZVzV6YkdGMFpTZ3hOek13TGpRc01Da2lQangxYzJVZ1pHRjBZUzFqUFNJeU1rTTFJaUI0YkdsdWF6cG9jbVZtUFNJalRVcFlMVEl0VkVWWUxVNHRNakpETlNJdlBqd3ZaejQ4WnlCa1lYUmhMVzF0YkMxdWIyUmxQU0p0Wm5KaFl5SWdkSEpoYm5ObWIzSnRQU0owY21GdWMyeGhkR1VvTWpJek1DNDJMREFwSWo0OFp5QmtZWFJoTFcxdGJDMXViMlJsUFNKdGFTSWdkSEpoYm5ObWIzSnRQU0owY21GdWMyeGhkR1VvTWpJeUxqRXNNemswS1NCelkyRnNaU2d3TGpjd055a2lQangxYzJVZ1pHRjBZUzFqUFNJeFJEY3dRaUlnZUd4cGJtczZhSEpsWmowaUkwMUtXQzB5TFZSRldDMUpMVEZFTnpCQ0lpOCtQQzluUGp4bklHUmhkR0V0Ylcxc0xXNXZaR1U5SW0xcElpQjBjbUZ1YzJadmNtMDlJblJ5WVc1emJHRjBaU2d5TWpBc0xUTTBOU2tnYzJOaGJHVW9NQzQzTURjcElqNDhkWE5sSUdSaGRHRXRZejBpTWpFd1JTSWdlR3hwYm1zNmFISmxaajBpSTAxS1dDMHlMVlJGV0MxSkxUSXhNRVVpTHo0OEwyYytQSEpsWTNRZ2QybGtkR2c5SWpZd055NHpJaUJvWldsbmFIUTlJall3SWlCNFBTSXhNakFpSUhrOUlqSXlNQ0l2UGp3dlp6NDhaeUJrWVhSaExXMXRiQzF1YjJSbFBTSnRieUlnZEhKaGJuTm1iM0p0UFNKMGNtRnVjMnhoZEdVb016QTNOeTQ1TERBcElIUnlZVzV6YkdGMFpTZ3dJQzB3TGpVcElqNDhkWE5sSUdSaGRHRXRZejBpTWpraUlIaHNhVzVyT21oeVpXWTlJaU5OU2xndE1pMVVSVmd0VTA4dE1qa2lMejQ4TDJjK1BDOW5QanhuSUdSaGRHRXRiVzFzTFc1dlpHVTlJbTF2SWlCMGNtRnVjMlp2Y20wOUluUnlZVzV6YkdGMFpTZzNPVEF4TGpJc01Da2lQangxYzJVZ1pHRjBZUzFqUFNJeVFpSWdlR3hwYm1zNmFISmxaajBpSTAxS1dDMHlMVlJGV0MxT0xUSkNJaTgrUEM5blBqeG5JR1JoZEdFdGJXMXNMVzV2WkdVOUltMXBJaUIwY21GdWMyWnZjbTA5SW5SeVlXNXpiR0YwWlNnNE9UQXhMalVzTUNraVBqeDFjMlVnWkdGMFlTMWpQU0kzTXlJZ2VHeHBibXM2YUhKbFpqMGlJMDFLV0MweUxWUkZXQzFPTFRjeklpOCtQSFZ6WlNCa1lYUmhMV005SWpZNUlpQjRiR2x1YXpwb2NtVm1QU0lqVFVwWUxUSXRWRVZZTFU0dE5qa2lJSFJ5WVc1elptOXliVDBpZEhKaGJuTnNZWFJsS0RNNU5Dd3dLU0l2UGp4MWMyVWdaR0YwWVMxalBTSTJSU0lnZUd4cGJtczZhSEpsWmowaUkwMUtXQzB5TFZSRldDMU9MVFpGSWlCMGNtRnVjMlp2Y20wOUluUnlZVzV6YkdGMFpTZzJOeklzTUNraUx6NDhMMmMrUEdjZ1pHRjBZUzF0Yld3dGJtOWtaVDBpYlc4aUlIUnlZVzV6Wm05eWJUMGlkSEpoYm5Oc1lYUmxLREV3TVRJNUxqVXNNQ2tpUGp4MWMyVWdaR0YwWVMxalBTSXlNRFl4SWlCNGJHbHVhenBvY21WbVBTSWpUVXBZTFRJdFZFVllMVTR0TWpBMk1TSXZQand2Wno0OFp5QmtZWFJoTFcxdGJDMXViMlJsUFNKdGNtOTNJaUIwY21GdWMyWnZjbTA5SW5SeVlXNXpiR0YwWlNneE1ESTVOaTR4TERBcElqNDhaeUJrWVhSaExXMXRiQzF1YjJSbFBTSnRieUlnZEhKaGJuTm1iM0p0UFNKMGNtRnVjMnhoZEdVb01DQXRNQzQxS1NJK1BIVnpaU0JrWVhSaExXTTlJakk0SWlCNGJHbHVhenBvY21WbVBTSWpUVXBZTFRJdFZFVllMVk5QTFRJNElpOCtQQzluUGp4bklHUmhkR0V0Ylcxc0xXNXZaR1U5SW0xbWNtRmpJaUIwY21GdWMyWnZjbTA5SW5SeVlXNXpiR0YwWlNnME5UZ3NNQ2tpUGp4bklHUmhkR0V0Ylcxc0xXNXZaR1U5SW0xemRXSWlJSFJ5WVc1elptOXliVDBpZEhKaGJuTnNZWFJsS0RJeU1DdzBOVFl1TVNrZ2MyTmhiR1VvTUM0M01EY3BJajQ4WnlCa1lYUmhMVzF0YkMxdWIyUmxQU0p0YVNJK1BIVnpaU0JrWVhSaExXTTlJakZFTkRZeklpQjRiR2x1YXpwb2NtVm1QU0lqVFVwWUxUSXRWRVZZTFVrdE1VUTBOak1pTHo0OEwyYytQR2NnWkdGMFlTMXRiV3d0Ym05a1pUMGlWR1ZZUVhSdmJTSWdkSEpoYm5ObWIzSnRQU0owY21GdWMyeGhkR1VvTlRFNExDMHhOVEFwSUhOallXeGxLREF1TnpBM0tTSWdaR0YwWVMxdGFuZ3RkR1Y0WTJ4aGMzTTlJazlTUkNJK1BHY2daR0YwWVMxdGJXd3RibTlrWlQwaWJXa2lQangxYzJVZ1pHRjBZUzFqUFNJeU1URXpJaUI0YkdsdWF6cG9jbVZtUFNJalRVcFlMVEl0VkVWWUxVa3RNakV4TXlJdlBqd3ZaejQ4TDJjK1BDOW5QanhuSUdSaGRHRXRiVzFzTFc1dlpHVTlJbTF1SWlCMGNtRnVjMlp2Y20wOUluUnlZVzV6YkdGMFpTZ3pORGd1TXl3dE16UTFLU0J6WTJGc1pTZ3dMamN3TnlraVBqeDFjMlVnWkdGMFlTMWpQU0l6TWlJZ2VHeHBibXM2YUhKbFpqMGlJMDFLV0MweUxWUkZXQzFPTFRNeUlpOCtQQzluUGp4eVpXTjBJSGRwWkhSb1BTSTRNVEF1TVNJZ2FHVnBaMmgwUFNJMk1DSWdlRDBpTVRJd0lpQjVQU0l5TWpBaUx6NDhMMmMrUEdjZ1pHRjBZUzF0Yld3dGJtOWtaVDBpYlc4aUlIUnlZVzV6Wm05eWJUMGlkSEpoYm5Oc1lYUmxLREUzTXpBdU5Dd3dLU0krUEhWelpTQmtZWFJoTFdNOUlqSXlRelVpSUhoc2FXNXJPbWh5WldZOUlpTk5TbGd0TWkxVVJWZ3RUaTB5TWtNMUlpOCtQQzluUGp4bklHUmhkR0V0Ylcxc0xXNXZaR1U5SW0xbWNtRmpJaUIwY21GdWMyWnZjbTA5SW5SeVlXNXpiR0YwWlNneU1qTXdMallzTUNraVBqeG5JR1JoZEdFdGJXMXNMVzV2WkdVOUltMXBJaUIwY21GdWMyWnZjbTA5SW5SeVlXNXpiR0YwWlNneU1qSXVNU3d6T1RRcElITmpZV3hsS0RBdU56QTNLU0krUEhWelpTQmtZWFJoTFdNOUlqRkVOekJDSWlCNGJHbHVhenBvY21WbVBTSWpUVXBZTFRJdFZFVllMVWt0TVVRM01FSWlMejQ4TDJjK1BHY2daR0YwWVMxdGJXd3RibTlrWlQwaWJXa2lJSFJ5WVc1elptOXliVDBpZEhKaGJuTnNZWFJsS0RJeU1Dd3RNelExS1NCelkyRnNaU2d3TGpjd055a2lQangxYzJVZ1pHRjBZUzFqUFNJeU1UQkZJaUI0YkdsdWF6cG9jbVZtUFNJalRVcFlMVEl0VkVWWUxVa3RNakV3UlNJdlBqd3ZaejQ4Y21WamRDQjNhV1IwYUQwaU5qQTNMak1pSUdobGFXZG9kRDBpTmpBaUlIZzlJakV5TUNJZ2VUMGlNakl3SWk4K1BDOW5QanhuSUdSaGRHRXRiVzFzTFc1dlpHVTlJbTF2SWlCMGNtRnVjMlp2Y20wOUluUnlZVzV6YkdGMFpTZ3pNRGMzTGprc01Da2dkSEpoYm5Oc1lYUmxLREFnTFRBdU5Ta2lQangxYzJVZ1pHRjBZUzFqUFNJeU9TSWdlR3hwYm1zNmFISmxaajBpSTAxS1dDMHlMVlJGV0MxVFR5MHlPU0l2UGp3dlp6NDhMMmMrUEM5blBqeG5JR1JoZEdFdGJXMXNMVzV2WkdVOUltMXliM2NpSUhSeVlXNXpabTl5YlQwaWRISmhibk5zWVhSbEtESTJOak11TlN3dE1URXdPUzQxS1NJK1BHY2daR0YwWVMxdGJXd3RibTlrWlQwaWJXa2lQangxYzJVZ1pHRjBZUzFqUFNJeFJEY3dRaUlnZUd4cGJtczZhSEpsWmowaUkwMUtXQzB5TFZSRldDMUpMVEZFTnpCQ0lpOCtQQzluUGp4bklHUmhkR0V0Ylcxc0xXNXZaR1U5SW0xeWIzY2lJSFJ5WVc1elptOXliVDBpZEhKaGJuTnNZWFJsS0Rjek5pNDNMREFwSWo0OFp5QmtZWFJoTFcxdGJDMXViMlJsUFNKdGJ5SWdkSEpoYm5ObWIzSnRQU0owY21GdWMyeGhkR1VvTUNBdE1DNDFLU0krUEhWelpTQmtZWFJoTFdNOUlqSTRJaUI0YkdsdWF6cG9jbVZtUFNJalRVcFlMVEl0VkVWWUxVeFBMVEk0SWk4K1BDOW5QanhuSUdSaGRHRXRiVzFzTFc1dlpHVTlJbTFtY21GaklpQjBjbUZ1YzJadmNtMDlJblJ5WVc1emJHRjBaU2cxT1Rjc01Da2lQanhuSUdSaGRHRXRiVzFzTFc1dlpHVTlJbTF6ZFdJaUlIUnlZVzV6Wm05eWJUMGlkSEpoYm5Oc1lYUmxLREl5TUN3ME5EWXVNU2tnYzJOaGJHVW9NQzQzTURjcElqNDhaeUJrWVhSaExXMXRiQzF1YjJSbFBTSnRhU0krUEhWelpTQmtZWFJoTFdNOUlqSXhNRVVpSUhoc2FXNXJPbWh5WldZOUlpTk5TbGd0TWkxVVJWZ3RTUzB5TVRCRklpOCtQQzluUGp4bklHUmhkR0V0Ylcxc0xXNXZaR1U5SW0xdUlpQjBjbUZ1YzJadmNtMDlJblJ5WVc1emJHRjBaU2cyTURrc0xURTFNQ2tnYzJOaGJHVW9NQzQzTURjcElqNDhkWE5sSUdSaGRHRXRZejBpTXpJaUlIaHNhVzVyT21oeVpXWTlJaU5OU2xndE1pMVVSVmd0VGkwek1pSXZQand2Wno0OEwyYytQR2NnWkdGMFlTMXRiV3d0Ym05a1pUMGliV2tpSUhSeVlXNXpabTl5YlQwaWRISmhibk5zWVhSbEtETTNOQzR6TEMwek5EVXBJSE5qWVd4bEtEQXVOekEzS1NJK1BIVnpaU0JrWVhSaExXTTlJakl4TUVVaUlIaHNhVzVyT21oeVpXWTlJaU5OU2xndE1pMVVSVmd0U1MweU1UQkZJaTgrUEM5blBqeHlaV04wSUhkcFpIUm9QU0k1TVRZaUlHaGxhV2RvZEQwaU5qQWlJSGc5SWpFeU1DSWdlVDBpTWpJd0lpOCtQQzluUGp4bklHUmhkR0V0Ylcxc0xXNXZaR1U5SW0xdklpQjBjbUZ1YzJadmNtMDlJblJ5WVc1emJHRjBaU2d4T1RjMUxqSXNNQ2tpUGp4MWMyVWdaR0YwWVMxalBTSXlNakV5SWlCNGJHbHVhenBvY21WbVBTSWpUVXBZTFRJdFZFVllMVTR0TWpJeE1pSXZQand2Wno0OFp5QmtZWFJoTFcxdGJDMXViMlJsUFNKdFpuSmhZeUlnZEhKaGJuTm1iM0p0UFNKMGNtRnVjMnhoZEdVb01qazNOUzQwTERBcElqNDhaeUJrWVhSaExXMXRiQzF1YjJSbFBTSnRiaUlnZEhKaGJuTm1iM0p0UFNKMGNtRnVjMnhoZEdVb01qSXdMRE01TkNrZ2MyTmhiR1VvTUM0M01EY3BJajQ4ZFhObElHUmhkR0V0WXowaU16RWlJSGhzYVc1ck9taHlaV1k5SWlOTlNsZ3RNaTFVUlZndFRpMHpNU0l2UGp3dlp6NDhaeUJrWVhSaExXMXRiQzF1YjJSbFBTSnRiaUlnZEhKaGJuTm1iM0p0UFNKMGNtRnVjMnhoZEdVb01qSXdMQzB6TkRVcElITmpZV3hsS0RBdU56QTNLU0krUEhWelpTQmtZWFJoTFdNOUlqTXlJaUI0YkdsdWF6cG9jbVZtUFNJalRVcFlMVEl0VkVWWUxVNHRNeklpTHo0OEwyYytQSEpsWTNRZ2QybGtkR2c5SWpVMU15NDJJaUJvWldsbmFIUTlJall3SWlCNFBTSXhNakFpSUhrOUlqSXlNQ0l2UGp3dlp6NDhaeUJrWVhSaExXMXRiQzF1YjJSbFBTSnRieUlnZEhKaGJuTm1iM0p0UFNKMGNtRnVjMnhoZEdVb016YzJPU3d3S1NCMGNtRnVjMnhoZEdVb01DQXRNQzQxS1NJK1BIVnpaU0JrWVhSaExXTTlJakk1SWlCNGJHbHVhenBvY21WbVBTSWpUVXBZTFRJdFZFVllMVXhQTFRJNUlpOCtQQzluUGp3dlp6NDhaeUJrWVhSaExXMXRiQzF1YjJSbFBTSnRieUlnZEhKaGJuTm1iM0p0UFNKMGNtRnVjMnhoZEdVb05UTXlOQzQ1TERBcElqNDhkWE5sSUdSaGRHRXRZejBpTWtJaUlIaHNhVzVyT21oeVpXWTlJaU5OU2xndE1pMVVSVmd0VGkweVFpSXZQand2Wno0OFp5QmtZWFJoTFcxdGJDMXViMlJsUFNKdFpuSmhZeUlnZEhKaGJuTm1iM0p0UFNKMGNtRnVjMnhoZEdVb05qTXlOUzR4TERBcElqNDhaeUJrWVhSaExXMXRiQzF1YjJSbFBTSnRjM1ZpSWlCMGNtRnVjMlp2Y20wOUluUnlZVzV6YkdGMFpTZ3lNakFzTkRVMkxqRXBJSE5qWVd4bEtEQXVOekEzS1NJK1BHY2daR0YwWVMxdGJXd3RibTlrWlQwaWJXa2lQangxYzJVZ1pHRjBZUzFqUFNJeFJEUTJNeUlnZUd4cGJtczZhSEpsWmowaUkwMUtXQzB5TFZSRldDMUpMVEZFTkRZeklpOCtQQzluUGp4bklHUmhkR0V0Ylcxc0xXNXZaR1U5SWxSbFdFRjBiMjBpSUhSeVlXNXpabTl5YlQwaWRISmhibk5zWVhSbEtEVXhPQ3d0TVRVd0tTQnpZMkZzWlNnd0xqY3dOeWtpSUdSaGRHRXRiV3A0TFhSbGVHTnNZWE56UFNKUFVrUWlQanhuSUdSaGRHRXRiVzFzTFc1dlpHVTlJbTFwSWo0OGRYTmxJR1JoZEdFdFl6MGlNakV4TXlJZ2VHeHBibXM2YUhKbFpqMGlJMDFLV0MweUxWUkZXQzFKTFRJeE1UTWlMejQ4TDJjK1BDOW5Qand2Wno0OFp5QmtZWFJoTFcxdGJDMXViMlJsUFNKdGJpSWdkSEpoYm5ObWIzSnRQU0owY21GdWMyeGhkR1VvTXpRNExqTXNMVE0wTlNrZ2MyTmhiR1VvTUM0M01EY3BJajQ4ZFhObElHUmhkR0V0WXowaU16SWlJSGhzYVc1ck9taHlaV1k5SWlOTlNsZ3RNaTFVUlZndFRpMHpNaUl2UGp3dlp6NDhjbVZqZENCM2FXUjBhRDBpT0RFd0xqRWlJR2hsYVdkb2REMGlOakFpSUhnOUlqRXlNQ0lnZVQwaU1qSXdJaTgrUEM5blBqeG5JR1JoZEdFdGJXMXNMVzV2WkdVOUltMXZJaUIwY21GdWMyWnZjbTA5SW5SeVlXNXpiR0YwWlNnM05UazNMalVzTUNraVBqeDFjMlVnWkdGMFlTMWpQU0l5TWtNMUlpQjRiR2x1YXpwb2NtVm1QU0lqVFVwWUxUSXRWRVZZTFU0dE1qSkROU0l2UGp3dlp6NDhaeUJrWVhSaExXMXRiQzF1YjJSbFBTSnRabkpoWXlJZ2RISmhibk5tYjNKdFBTSjBjbUZ1YzJ4aGRHVW9PREE1Tnk0M0xEQXBJajQ4WnlCa1lYUmhMVzF0YkMxdWIyUmxQU0p0YVNJZ2RISmhibk5tYjNKdFBTSjBjbUZ1YzJ4aGRHVW9Nakl5TGpFc016azBLU0J6WTJGc1pTZ3dMamN3TnlraVBqeDFjMlVnWkdGMFlTMWpQU0l4UkRjd1FpSWdlR3hwYm1zNmFISmxaajBpSTAxS1dDMHlMVlJGV0MxSkxURkVOekJDSWk4K1BDOW5QanhuSUdSaGRHRXRiVzFzTFc1dlpHVTlJbTFwSWlCMGNtRnVjMlp2Y20wOUluUnlZVzV6YkdGMFpTZ3lNakFzTFRNME5Ta2djMk5oYkdVb01DNDNNRGNwSWo0OGRYTmxJR1JoZEdFdFl6MGlNakV3UlNJZ2VHeHBibXM2YUhKbFpqMGlJMDFLV0MweUxWUkZXQzFKTFRJeE1FVWlMejQ4TDJjK1BISmxZM1FnZDJsa2RHZzlJall3Tnk0eklpQm9aV2xuYUhROUlqWXdJaUI0UFNJeE1qQWlJSGs5SWpJeU1DSXZQand2Wno0OEwyYytQSEpsWTNRZ2QybGtkR2c5SWpFME1ETXlJaUJvWldsbmFIUTlJall3SWlCNFBTSXhNakFpSUhrOUlqSXlNQ0l2UGp3dlp6NDhaeUJrWVhSaExXMXRiQzF1YjJSbFBTSnRieUlnZEhKaGJuTm1iM0p0UFNKMGNtRnVjMnhoZEdVb01UUTVNemtzTUNraVBqeDFjMlVnWkdGMFlTMWpQU0l5TTBFMElpQjRiR2x1YXpwb2NtVm1QU0lqVFVwWUxUSXRWRVZZTFZNMExUSXpRVFFpSUhSeVlXNXpabTl5YlQwaWRISmhibk5zWVhSbEtEQXNNVEV3TlNraUx6NDhkWE5sSUdSaGRHRXRZejBpTWpOQk5pSWdlR3hwYm1zNmFISmxaajBpSTAxS1dDMHlMVlJGV0MxVE5DMHlNMEUySWlCMGNtRnVjMlp2Y20wOUluUnlZVzV6YkdGMFpTZ3dMQzB4TVRFMUtTSXZQanh6ZG1jZ2QybGtkR2c5SWpZMk55SWdhR1ZwWjJoMFBTSTJNakFpSUhrOUlpMDJNQ0lnZUQwaU1DSWdkbWxsZDBKdmVEMGlNQ0F4TlRVZ05qWTNJRFl5TUNJK1BIVnpaU0JrWVhSaExXTTlJakl6UVRVaUlIaHNhVzVyT21oeVpXWTlJaU5OU2xndE1pMVVSVmd0VXpRdE1qTkJOU0lnZEhKaGJuTm1iM0p0UFNKelkyRnNaU2d4TERFdU5UUTFLU0l2UGp3dmMzWm5Qand2Wno0OEwyYytQQzluUGp3dlp6NDhMM04yWno0PSIsCgkiUmVhbFZpZXdTaXplSnNvbiIgOiAie1wiaGVpZ2h0XCI6MTMxMSxcIndpZHRoXCI6OTE3OX0iCn0K"/>
    </extobj>
    <extobj name="2384804F-3998-4D57-9195-F3826E402611-3">
      <extobjdata type="2384804F-3998-4D57-9195-F3826E402611" data="ewoJIkltZ1NldHRpbmdKc29uIiA6ICJ7XCJoZWlnaHRcIjozNi42MDcxNDI4NTcxNDI4NTQsXCJ3aWR0aFwiOjMwMS43ODU3MTQyODU3MTQzfSIsCgkiTGF0ZXgiIDogIndfe2VmfSA9IHcgKyBcXGZyYWN7Mmh9e1xccGl9IFxcY2RvdCBcXGxuIFxcbGVmdFsgMTcuMDggXFxsZWZ0KCBcXGZyYWN7d317Mmh9ICsgMC45MiBcXHJpZ2h0KSBcXHJpZ2h0XVxuIiwKCSJMYXRleEltZ0Jhc2U2NCIgOiAiUEhOMlp5QjRiV3h1Y3owaWFIUjBjRG92TDNkM2R5NTNNeTV2Y21jdk1qQXdNQzl6ZG1jaUlIZHBaSFJvUFNJek9DNDNOV1Y0SWlCb1pXbG5hSFE5SWpRdU5qYzJaWGdpSUhKdmJHVTlJbWx0WnlJZ1ptOWpkWE5oWW14bFBTSm1ZV3h6WlNJZ2RtbGxkMEp2ZUQwaU1DQXRNVE0zTUNBeE56RXlOeTQySURJd05qY2lJSGh0Ykc1ek9uaHNhVzVyUFNKb2RIUndPaTh2ZDNkM0xuY3pMbTl5Wnk4eE9UazVMM2hzYVc1cklpQmhjbWxoTFdocFpHUmxiajBpZEhKMVpTSWdjM1I1YkdVOUluWmxjblJwWTJGc0xXRnNhV2R1T2lBdE1TNDFOemRsZURzZ2JXRjRMWGRwWkhSb09pQTVPQ1U3SWo0OFpHVm1jejQ4Y0dGMGFDQnBaRDBpVFVwWUxUSXRWRVZZTFVrdE1VUTBOalFpSUdROUlrMDFPREFnTXpnMVVUVTRNQ0EwTURZZ05UazVJRFF5TkZRMk5ERWdORFF6VVRZMU9TQTBORE1nTmpjMElEUXlOVlEyT1RBZ016WTRVVFk1TUNBek16a2dOamN4SURJMU0xRTJOVFlnTVRrM0lEWTBOQ0F4TmpGVU5qQTVJRGd3VkRVMU5DQXhNbFEwT0RJZ0xURXhVVFF6T0NBdE1URWdOREEwSURWVU16VTFJRFE0VVRNMU5DQTBOeUF6TlRJZ05EUlJNekV4SUMweE1TQXlOVElnTFRFeFVUSXlOaUF0TVRFZ01qQXlJQzAxVkRFMU5TQXhORlF4TVRnZ05UTlVNVEEwSURFeE5sRXhNRFFnTVRjd0lERXpPQ0F5TmpKVU1UY3pJRE0zT1ZFeE56TWdNemd3SURFM015QXpPREZSTVRjeklETTVNQ0F4TnpNZ016a3pWREUyT1NBME1EQlVNVFU0SURRd05FZ3hOVFJSTVRNeElEUXdOQ0F4TVRJZ016ZzFWRGd5SURNME5GUTJOU0F6TURKVU5UY2dNamd3VVRVMUlESTNPQ0EwTVNBeU56aElNamRSTWpFZ01qZzBJREl4SURJNE4xRXlNU0F5T1RNZ01qa2dNekUxVkRVeUlETTJObFE1TmlBME1UaFVNVFl4SURRME1WRXlNRFFnTkRReElESXlOeUEwTVRaVU1qVXdJRE0xT0ZFeU5UQWdNelF3SURJeE55QXlOVEJVTVRnMElERXhNVkV4T0RRZ05qVWdNakExSURRMlZESTFPQ0F5TmxFek1ERWdNallnTXpNMElEZzNURE16T1NBNU5sWXhNVGxSTXpNNUlERXlNaUF6TXprZ01USTRWRE0wTUNBeE16WlVNelF4SURFME0xUXpORElnTVRVeVZETTBOU0F4TmpWVU16UTRJREU0TWxRek5UUWdNakEyVkRNMk1pQXlNemhVTXpjeklESTRNVkUwTURJZ016azFJRFF3TmlBME1EUlJOREU1SURRek1TQTBORGtnTkRNeFVUUTJPQ0EwTXpFZ05EYzFJRFF5TVZRME9ETWdOREF5VVRRNE15QXpPRGtnTkRVMElESTNORlEwTWpJZ01UUXlVVFF5TUNBeE16RWdOREl3SURFd04xWXhNREJSTkRJd0lEZzFJRFF5TXlBM01WUTBORElnTkRKVU5EZzNJREkyVVRVMU9DQXlOaUEyTURBZ01UUTRVVFl3T1NBeE56RWdOakl3SURJeE0xUTJNeklnTWpjelVUWXpNaUF6TURZZ05qRTVJRE15TlZRMU9UTWdNelUzVkRVNE1DQXpPRFZhSWk4K1BIQmhkR2dnYVdROUlrMUtXQzB5TFZSRldDMUpMVEZFTkRVeUlpQmtQU0pOTXprZ01UWTRVVE01SURJeU5TQTFPQ0F5TnpKVU1UQTNJRE0xTUZReE56UWdOREF5VkRJME5DQTBNek5VTXpBM0lEUTBNa2d6TVRCUk16VTFJRFEwTWlBek9EZ2dOREl3VkRReU1TQXpOVFZSTkRJeElESTJOU0F6TVRBZ01qTTNVVEkyTVNBeU1qUWdNVGMySURJeU0xRXhNemtnTWpJeklERXpPQ0F5TWpGUk1UTTRJREl4T1NBeE16SWdNVGcyVkRFeU5TQXhNamhSTVRJMUlEZ3hJREUwTmlBMU5GUXlNRGtnTWpaVU16QXlJRFExVkRNNU5DQXhNVEZSTkRBeklERXlNU0EwTURZZ01USXhVVFF4TUNBeE1qRWdOREU1SURFeE1sUTBNamtnT1RoVU5ESXdJRGd5VkRNNU1DQTFOVlF6TkRRZ01qUlVNamd4SUMweFZESXdOU0F0TVRGUk1USTJJQzB4TVNBNE15QTBNbFF6T1NBeE5qaGFUVE0zTXlBek5UTlJNelkzSURRd05TQXpNRFVnTkRBMVVUSTNNaUEwTURVZ01qUTBJRE01TVZReE9Ua2dNelUzVkRFM01DQXpNVFpVTVRVMElESTRNRlF4TkRrZ01qWXhVVEUwT1NBeU5qQWdNVFk1SURJMk1GRXlPRElnTWpZd0lETXlOeUF5T0RSVU16Y3pJRE0xTTFvaUx6NDhjR0YwYUNCcFpEMGlUVXBZTFRJdFZFVllMVWt0TVVRME5UTWlJR1E5SWsweE1UZ2dMVEUyTWxFeE1qQWdMVEUyTWlBeE1qUWdMVEUyTkZReE16VWdMVEUyTjFReE5EY2dMVEUyT0ZFeE5qQWdMVEUyT0NBeE56RWdMVEUxTlZReE9EY2dMVEV5TmxFeE9UY2dMVGs1SURJeU1TQXlOMVF5TmpjZ01qWTNWREk0T1NBek9ESldNemcxU0RJME1sRXhPVFVnTXpnMUlERTVNaUF6T0RkUk1UZzRJRE01TUNBeE9EZ2dNemszVERFNU5TQTBNalZSTVRrM0lEUXpNQ0F5TURNZ05ETXdWREkxTUNBME16RlJNams0SURRek1TQXlPVGdnTkRNeVVUSTVPQ0EwTXpRZ016QTNJRFE0TWxRek1Ua2dOVFF3VVRNMU5pQTNNRFVnTkRZMUlEY3dOVkUxTURJZ056QXpJRFV5TmlBMk9ETlVOVFV3SURZek1GRTFOVEFnTlRrMElEVXlPU0ExTnpoVU5EZzNJRFUyTVZFME5ETWdOVFl4SURRME15QTJNRE5STkRReklEWXlNaUEwTlRRZ05qTTJWRFEzT0NBMk5UZE1ORGczSURZMk1sRTBOekVnTmpZNElEUTFOeUEyTmpoUk5EUTFJRFkyT0NBME16UWdOalU0VkRReE9TQTJNekJSTkRFeUlEWXdNU0EwTURNZ05UVXlWRE00TnlBME5qbFVNemd3SURRek0xRXpPREFnTkRNeElEUXpOU0EwTXpGUk5EZ3dJRFF6TVNBME9EY2dORE13VkRRNU9DQTBNalJSTkRrNUlEUXlNQ0EwT1RZZ05EQTNWRFE1TVNBek9URlJORGc1SURNNE5pQTBPRElnTXpnMlZEUXlPQ0F6T0RWSU16Y3lURE0wT1NBeU5qTlJNekF4SURFMUlESTRNaUF0TkRkUk1qVTFJQzB4TXpJZ01qRXlJQzB4TnpOUk1UYzFJQzB5TURVZ01UTTVJQzB5TURWUk1UQTNJQzB5TURVZ09ERWdMVEU0TmxRMU5TQXRNVE15VVRVMUlDMDVOU0EzTmlBdE56aFVNVEU0SUMwMk1WRXhOaklnTFRZeElERTJNaUF0TVRBelVURTJNaUF0TVRJeUlERTFNU0F0TVRNMlZERXlOeUF0TVRVM1RERXhPQ0F0TVRZeVdpSXZQanh3WVhSb0lHbGtQU0pOU2xndE1pMVVSVmd0VGkwelJDSWdaRDBpVFRVMklETTBOMUUxTmlBek5qQWdOekFnTXpZM1NEY3dOMUUzTWpJZ016VTVJRGN5TWlBek5EZFJOekl5SURNek5pQTNNRGdnTXpJNFRETTVNQ0F6TWpkSU56SlJOVFlnTXpNeUlEVTJJRE0wTjFwTk5UWWdNVFV6VVRVMklERTJPQ0EzTWlBeE56TklOekE0VVRjeU1pQXhOak1nTnpJeUlERTFNMUUzTWpJZ01UUXdJRGN3TnlBeE16TklOekJSTlRZZ01UUXdJRFUySURFMU0xb2lMejQ4Y0dGMGFDQnBaRDBpVFVwWUxUSXRWRVZZTFU0dE1rSWlJR1E5SWswMU5pQXlNemRVTlRZZ01qVXdWRGN3SURJM01FZ3pOamxXTkRJd1RETTNNQ0ExTnpCUk16Z3dJRFU0TXlBek9Ea2dOVGd6VVRRd01pQTFPRE1nTkRBNUlEVTJPRll5TnpCSU56QTNVVGN5TWlBeU5qSWdOekl5SURJMU1GUTNNRGNnTWpNd1NEUXdPVll0TmpoUk5EQXhJQzA0TWlBek9URWdMVGd5U0RNNE9VZ3pPRGRSTXpjMUlDMDRNaUF6TmprZ0xUWTRWakl6TUVnM01GRTFOaUF5TXpjZ05UWWdNalV3V2lJdlBqeHdZWFJvSUdsa1BTSk5TbGd0TWkxVVJWZ3RUaTB6TWlJZ1pEMGlUVEV3T1NBME1qbFJPRElnTkRJNUlEWTJJRFEwTjFRMU1DQTBPVEZSTlRBZ05UWXlJREV3TXlBMk1UUlVNak0xSURZMk5sRXpNallnTmpZMklETTROeUEyTVRCVU5EUTVJRFEyTlZFME5Ea2dOREl5SURReU9TQXpPRE5VTXpneElETXhOVlF6TURFZ01qUXhVVEkyTlNBeU1UQWdNakF4SURFME9Vd3hORElnT1ROTU1qRTRJRGt5VVRNM05TQTVNaUF6T0RVZ09UZFJNemt5SURrNUlEUXdPU0F4T0RaV01UZzVTRFEwT1ZZeE9EWlJORFE0SURFNE15QTBNellnT1RWVU5ESXhJRE5XTUVnMU1GWXhPVll6TVZFMU1DQXpPQ0ExTmlBME5sUTROaUE0TVZFeE1UVWdNVEV6SURFek5pQXhNemRSTVRRMUlERTBOeUF4TnpBZ01UYzBWREl3TkNBeU1URlVNak16SURJME5GUXlOakVnTWpjNFZESTROQ0F6TURoVU16QTFJRE0wTUZRek1qQWdNelk1VkRNek15QTBNREZVTXpRd0lEUXpNVlF6TkRNZ05EWTBVVE0wTXlBMU1qY2dNekE1SURVM00xUXlNVElnTmpFNVVURTNPU0EyTVRrZ01UVTBJRFl3TWxReE1Ua2dOVFk1VkRFd09TQTFOVEJSTVRBNUlEVTBPU0F4TVRRZ05UUTVVVEV6TWlBMU5Ea2dNVFV4SURVek5WUXhOekFnTkRnNVVURTNNQ0EwTmpRZ01UVTBJRFEwTjFReE1Ea2dOREk1V2lJdlBqeHdZWFJvSUdsa1BTSk5TbGd0TWkxVVJWZ3RTUzB5TVRCRklpQmtQU0pOTVRNM0lEWTRNMUV4TXpnZ05qZ3pJREl3T1NBMk9EaFVNamd5SURZNU5GRXlPVFFnTmprMElESTVOQ0EyT0RWUk1qazBJRFkzTkNBeU5UZ2dOVE0wVVRJeU1DQXpPRFlnTWpJd0lETTRNMUV5TWpBZ016Z3hJREl5TnlBek9EaFJNamc0SURRME1pQXpOVGNnTkRReVVUUXhNU0EwTkRJZ05EUTBJRFF4TlZRME56Z2dNek0yVVRRM09DQXlPRFVnTkRRd0lERTNPRlEwTURJZ05UQlJOREF6SURNMklEUXdOeUF6TVZRME1qSWdNalpSTkRVd0lESTJJRFEzTkNBMU5sUTFNVE1nTVRNNFVUVXhOaUF4TkRrZ05URTVJREUxTVZRMU16VWdNVFV6VVRVMU5TQXhOVE1nTlRVMUlERTBOVkUxTlRVZ01UUTBJRFUxTVNBeE16QlJOVE0xSURjeElEVXdNQ0F6TTFFME5qWWdMVEV3SURReE9TQXRNVEJJTkRFMFVUTTJOeUF0TVRBZ016UTJJREUzVkRNeU5TQTNORkV6TWpVZ09UQWdNell4SURFNU1sUXpPVGdnTXpRMVVUTTVPQ0EwTURRZ016VTBJRFF3TkVnek5EbFJNalkySURRd05DQXlNRFVnTXpBMlRERTVPQ0F5T1ROTU1UWTBJREUxT0ZFeE16SWdNamdnTVRJM0lERTJVVEV4TkNBdE1URWdPRE1nTFRFeFVUWTVJQzB4TVNBMU9TQXRNbFEwT0NBeE5sRTBPQ0F6TUNBeE1qRWdNekl3VERFNU5TQTJNVFpSTVRrMUlEWXlPU0F4T0RnZ05qTXlWREUwT1NBMk16ZElNVEk0VVRFeU1pQTJORE1nTVRJeUlEWTBOVlF4TWpRZ05qWTBVVEV5T1NBMk9ETWdNVE0zSURZNE0xb2lMejQ4Y0dGMGFDQnBaRDBpVFVwWUxUSXRWRVZZTFVrdE1VUTNNRUlpSUdROUlrMHhNeklnTFRFeFVUazRJQzB4TVNBNU9DQXlNbFl6TTB3eE1URWdOakZSTVRnMklESXhPU0F5TWpBZ016TTBUREl5T0NBek5UaElNVGsyVVRFMU9DQXpOVGdnTVRReUlETTFOVlF4TURNZ016TTJVVGt5SURNeU9TQTRNU0F6TVRoVU5qSWdNamszVkRVeklESTROVkUxTVNBeU9EUWdNemdnTWpnMFVURTVJREk0TkNBeE9TQXlPVFJSTVRrZ016QXdJRE00SURNeU9WUTVNeUF6T1RGVU1UWTBJRFF5T1ZFeE56RWdORE14SURNNE9TQTBNekZSTlRRNUlEUXpNU0ExTlRNZ05ETXdVVFUzTXlBME1qTWdOVGN6SURRd01sRTFOek1nTXpjeElEVTBNU0F6TmpCUk5UTTFJRE0xT0NBME56SWdNelU0U0RRd09FdzBNRFVnTXpReFVUTTVNeUF5TmprZ016a3pJREl5TWxFek9UTWdNVGN3SURRd01pQXhNamxVTkRJeElEWTFWRFF6TVNBek4xRTBNekVnTWpBZ05ERTNJRFZVTXpneElDMHhNRkV6TnpBZ0xURXdJRE0yTXlBdE4xUXpORGNnTVRkVU16TXhJRGMzVVRNek1DQTROaUF6TXpBZ01USXhVVE16TUNBeE56QWdNek01SURJeU5sUXpOVGNnTXpFNFZETTJOeUF6TlRoSU1qWTVUREkyT0NBek5UUlJNalk0SURNMU1TQXlORGtnTWpjMVZESXdOaUF4TVRSVU1UYzFJREUzVVRFMk5DQXRNVEVnTVRNeUlDMHhNVm9pTHo0OGNHRjBhQ0JwWkQwaVRVcFlMVEl0VkVWWUxVNHRNakpETlNJZ1pEMGlUVGM0SURJMU1GRTNPQ0F5TnpRZ09UVWdNamt5VkRFek9DQXpNVEJSTVRZeUlETXhNQ0F4T0RBZ01qazBWREU1T1NBeU5URlJNVGs1SURJeU5pQXhPRElnTWpBNFZERXpPU0F4T1RCVU9UWWdNakEzVkRjNElESTFNRm9pTHo0OGNHRjBhQ0JwWkQwaVRVcFlMVEl0VkVWWUxVNHROa01pSUdROUlrMDBNaUEwTmtnMU5sRTVOU0EwTmlBeE1ETWdOakJXTmpoUk1UQXpJRGMzSURFd015QTVNVlF4TURNZ01USTBWREV3TkNBeE5qZFVNVEEwSURJeE4xUXhNRFFnTWpjeVZERXdOQ0F6TWpsUk1UQTBJRE0yTmlBeE1EUWdOREEzVkRFd05DQTBPREpVTVRBMElEVTBNbFF4TURNZ05UZzJWREV3TXlBMk1ETlJNVEF3SURZeU1pQTRPU0EyTWpoVU5EUWdOak0zU0RJMlZqWTJNRkV5TmlBMk9ETWdNamdnTmpnelRETTRJRFk0TkZFME9DQTJPRFVnTmpjZ05qZzJWREV3TkNBMk9EaFJNVEl4SURZNE9TQXhOREVnTmprd1ZERTNNU0EyT1ROVU1UZ3lJRFk1TkVneE9EVldNemM1VVRFNE5TQTJNaUF4T0RZZ05qQlJNVGt3SURVeUlERTVPQ0EwT1ZFeU1Ua2dORFlnTWpRM0lEUTJTREkyTTFZd1NESTFOVXd5TXpJZ01WRXlNRGtnTWlBeE9ETWdNbFF4TkRVZ00xUXhNRGNnTTFRMU55QXhURE0wSURCSU1qWldORFpJTkRKYUlpOCtQSEJoZEdnZ2FXUTlJazFLV0MweUxWUkZXQzFPTFRaRklpQmtQU0pOTkRFZ05EWklOVFZST1RRZ05EWWdNVEF5SURZd1ZqWTRVVEV3TWlBM055QXhNRElnT1RGVU1UQXlJREV5TWxReE1ETWdNVFl4VkRFd015QXlNRE5STVRBeklESXpOQ0F4TURNZ01qWTVWREV3TWlBek1qaFdNelV4VVRrNUlETTNNQ0E0T0NBek56WlVORE1nTXpnMVNESTFWalF3T0ZFeU5TQTBNekVnTWpjZ05ETXhURE0zSURRek1sRTBOeUEwTXpNZ05qVWdORE0wVkRFd01pQTBNelpSTVRFNUlEUXpOeUF4TXpnZ05ETTRWREUyTnlBME5ERlVNVGM0SURRME1rZ3hPREZXTkRBeVVURTRNU0F6TmpRZ01UZ3lJRE0yTkZReE9EY2dNelk1VkRFNU9TQXpPRFJVTWpFNElEUXdNbFF5TkRjZ05ESXhWREk0TlNBME16ZFJNekExSURRME1pQXpNellnTkRReVVUUTFNQ0EwTXpnZ05EWXpJRE15T1ZFME5qUWdNekl5SURRMk5DQXhPVEJXTVRBMFVUUTJOQ0EyTmlBME5qWWdOVGxVTkRjM0lEUTVVVFE1T0NBME5pQTFNallnTkRaSU5UUXlWakJJTlRNMFREVXhNQ0F4VVRRNE55QXlJRFEyTUNBeVZEUXlNaUF6VVRNeE9TQXpJRE14TUNBd1NETXdNbFkwTmtnek1UaFJNemM1SURRMklETTNPU0EyTWxFek9EQWdOalFnTXpnd0lESXdNRkV6TnprZ016TTFJRE0zT0NBek5ETlJNemN5SURNM01TQXpOVGdnTXpnMVZETXpOQ0EwTURKVU16QTRJRFF3TkZFeU5qTWdOREEwSURJeU9TQXpOekJSTWpBeUlETTBNeUF4T1RVZ016RTFWREU0TnlBeU16SldNVFk0VmpFd09GRXhPRGNnTnpnZ01UZzRJRFk0VkRFNU1TQTFOVlF5TURBZ05EbFJNakl4SURRMklESTBPU0EwTmtneU5qVldNRWd5TlRkTU1qTTBJREZSTWpFd0lESWdNVGd6SURKVU1UUTFJRE5STkRJZ015QXpNeUF3U0RJMVZqUTJTRFF4V2lJdlBqeHdZWFJvSUdsa1BTSk5TbGd0TWkxVVJWZ3RUaTB5TURZeElpQmtQU0lpTHo0OGNHRjBhQ0JwWkQwaVRVcFlMVEl0VkVWWUxVeFBMVFZDSWlCa1BTSk5NakkwSUMwMk5EbFdNVEUxTUVnME5UVldNVEE1T1VneU56VldMVFU1T0VnME5UVldMVFkwT1VneU1qUmFJaTgrUEhCaGRHZ2dhV1E5SWsxS1dDMHlMVlJGV0MxT0xUTXhJaUJrUFNKTk1qRXpJRFUzT0V3eU1EQWdOVGN6VVRFNE5pQTFOamdnTVRZd0lEVTJNMVF4TURJZ05UVTJTRGd6VmpZd01rZ3hNREpSTVRRNUlEWXdOQ0F4T0RrZ05qRTNWREkwTlNBMk5ERlVNamN6SURZMk0xRXlOelVnTmpZMklESTROU0EyTmpaUk1qazBJRFkyTmlBek1ESWdOall3VmpNMk1Vd3pNRE1nTmpGUk16RXdJRFUwSURNeE5TQTFNbFF6TXprZ05EaFVOREF4SURRMlNEUXlOMVl3U0RReE5sRXpPVFVnTXlBeU5UY2dNMUV4TWpFZ015QXhNREFnTUVnNE9GWTBOa2d4TVRSUk1UTTJJRFEySURFMU1pQTBObFF4TnpjZ05EZFVNVGt6SURVd1ZESXdNU0ExTWxReU1EY2dOVGRVTWpFeklEWXhWalUzT0ZvaUx6NDhjR0YwYUNCcFpEMGlUVXBZTFRJdFZFVllMVTR0TXpjaUlHUTlJazAxTlNBME5UaFJOVFlnTkRZd0lEY3lJRFUyTjB3NE9DQTJOelJST0RnZ05qYzJJREV3T0NBMk56WklNVEk0VmpZM01sRXhNamdnTmpZeUlERTBNeUEyTlRWVU1UazFJRFkwTmxRek5qUWdOalEwU0RRNE5WWTJNRFZNTkRFM0lEVXhNbEUwTURnZ05UQXdJRE00TnlBME56SlVNell3SURRek5WUXpNemtnTkRBelZETXhPU0F6TmpkVU16QTFJRE16TUZReU9USWdNamcwVkRJNE5DQXlNekJVTWpjNElERTJNbFF5TnpVZ09EQlJNamMxSURZMklESTNOU0ExTWxReU56UWdNamhXTVRsUk1qY3dJRElnTWpVMUlDMHhNRlF5TWpFZ0xUSXlVVEl4TUNBdE1qSWdNakF3SUMweE9WUXhOemtnTUZReE5qZ2dOREJSTVRZNElERTVPQ0F5TmpVZ016WTRVVEk0TlNBME1EQWdNelE1SURRNE9Vd3pPVFVnTlRVeVNETXdNbEV4TWpnZ05UVXlJREV4T1NBMU5EWlJNVEV6SURVME15QXhNRGdnTlRJeVZEazRJRFEzT1V3NU5TQTBOVGhXTkRVMVNEVTFWalExT0ZvaUx6NDhjR0YwYUNCcFpEMGlUVXBZTFRJdFZFVllMVTR0TWtVaUlHUTlJazAzT0NBMk1GRTNPQ0E0TkNBNU5TQXhNREpVTVRNNElERXlNRkV4TmpJZ01USXdJREU0TUNBeE1EUlVNVGs1SURZeFVURTVPU0F6TmlBeE9ESWdNVGhVTVRNNUlEQlVPVFlnTVRkVU56Z2dOakJhSWk4K1BIQmhkR2dnYVdROUlrMUtXQzB5TFZSRldDMU9MVE13SWlCa1BTSk5PVFlnTlRnMVVURTFNaUEyTmpZZ01qUTVJRFkyTmxFeU9UY2dOalkySURNME5TQTJOREJVTkRJeklEVTBPRkUwTmpBZ05EWTFJRFEyTUNBek1qQlJORFl3SURFMk5TQTBNVGNnT0ROUk16azNJRFF4SURNMk1pQXhObFF6TURFZ0xURTFWREkxTUNBdE1qSlJNakkwSUMweU1pQXhPVGdnTFRFMlZERXpOeUF4TmxRNE1pQTRNMUV6T1NBeE5qVWdNemtnTXpJd1VUTTVJRFE1TkNBNU5pQTFPRFZhVFRNeU1TQTFPVGRSTWpreElEWXlPU0F5TlRBZ05qSTVVVEl3T0NBMk1qa2dNVGM0SURVNU4xRXhOVE1nTlRjeElERTBOU0ExTWpWVU1UTTNJRE16TTFFeE16Y2dNVGMxSURFME5TQXhNalZVTVRneElEUTJVVEl3T1NBeE5pQXlOVEFnTVRaUk1qa3dJREUySURNeE9DQTBObEV6TkRjZ056WWdNelUwSURFek1GUXpOaklnTXpNelVUTTJNaUEwTnpnZ016VTBJRFV5TkZRek1qRWdOVGszV2lJdlBqeHdZWFJvSUdsa1BTSk5TbGd0TWkxVVJWZ3RUaTB6T0NJZ1pEMGlUVGN3SURReE4xUTNNQ0EwT1RSVU1USTBJRFl4T0ZReU5EZ2dOalkyVVRNeE9TQTJOallnTXpjMElEWXlORlEwTWprZ05URTFVVFF5T1NBME9EVWdOREU0SURRMU9WUXpPVElnTkRFM1ZETTJNU0F6T0RsVU16TTFJRE0zTVZRek1qUWdNell6VERNek9DQXpOVFJSTXpVeUlETTBOQ0F6TmpZZ016TTBWRE00TWlBek1qTlJORFUzSURJMk5DQTBOVGNnTVRjMFVUUTFOeUE1TlNBek9Ua2dNemRVTWpRNUlDMHlNbEV4TlRrZ0xUSXlJREV3TVNBeU9WUTBNeUF4TlRWUk5ETWdNall6SURFM01pQXpNelZNTVRVMElETTBPRkV4TXpNZ016WXhJREV5TnlBek5qaFJOekFnTkRFM0lEY3dJRFE1TkZwTk1qZzJJRE00Tmt3eU9USWdNemt3VVRJNU9DQXpPVFFnTXpBeElETTVObFF6TVRFZ05EQXpWRE15TXlBME1UTlVNek0wSURReU5WUXpORFVnTkRNNFZETTFOU0EwTlRSVU16WTBJRFEzTVZRek5qa2dORGt4VkRNM01TQTFNVE5STXpjeElEVTFOaUF6TkRJZ05UZzJWREkzTlNBMk1qUlJNalk0SURZeU5TQXlORElnTmpJMVVUSXdNU0EyTWpVZ01UWTFJRFU1T1ZReE1qZ2dOVE0wVVRFeU9DQTFNVEVnTVRReElEUTVNbFF4TmpjZ05EWXpWREl4TnlBME16RlJNakkwSURReU5pQXlNamdnTkRJMFRESTROaUF6T0RaYVRUSTFNQ0F5TVZFek1EZ2dNakVnTXpVd0lEVTFWRE01TWlBeE16ZFJNemt5SURFMU5DQXpPRGNnTVRZNVZETTNOU0F4T1RSVU16VXpJREl4TmxRek16QWdNak0wVkRNd01TQXlOVE5VTWpjMElESTNNRkV5TmpBZ01qYzVJREkwTkNBeU9EbFVNakU0SURNd05rd3lNVEFnTXpFeFVUSXdOQ0F6TVRFZ01UZ3hJREk1TkZReE16TWdNak01VkRFd055QXhOVGRSTVRBM0lEazRJREUxTUNBMk1GUXlOVEFnTWpGYUlpOCtQSEJoZEdnZ2FXUTlJazFLV0MweUxWUkZXQzFNVHkweU9DSWdaRDBpVFRFNE1DQTVObFF4T0RBZ01qVXdWREl3TlNBMU5ERlVNalkySURjM01GUXpOVE1nT1RRMFZEUTBOQ0F4TURZNVZEVXlOeUF4TVRVd1NEVTFOVkUxTmpFZ01URTBOQ0ExTmpFZ01URTBNVkUxTmpFZ01URXpOeUExTkRVZ01URXlNRlExTURRZ01UQTNNbFEwTkRjZ09UazFWRE00TmlBNE56aFVNek13SURjeU1WUXlPRGdnTlRFelZESTNNaUF5TlRGUk1qY3lJREV6TXlBeU9EQWdOVFpSTWpreklDMDROeUF6TWpZZ0xUSXdPVlF6T1RrZ0xUUXdOVlEwTnpVZ0xUVXpNVlExTXpZZ0xUWXdPVlExTmpFZ0xUWTBNRkUxTmpFZ0xUWTBNeUExTlRVZ0xUWTBPVWcxTWpkUk5EZ3pJQzAyTVRJZ05EUXpJQzAxTmpoVU16VXpJQzAwTkROVU1qWTJJQzB5TnpCVU1qQTFJQzAwTVZvaUx6NDhjR0YwYUNCcFpEMGlUVXBZTFRJdFZFVllMVTR0TXpraUlHUTlJazB6TlRJZ01qZzNVVE13TkNBeU1URWdNak15SURJeE1WRXhOVFFnTWpFeElERXdOQ0F5TnpCVU5EUWdNemsyVVRReUlEUXhNaUEwTWlBME16WldORFEwVVRReUlEVXpOeUF4TVRFZ05qQTJVVEUzTVNBMk5qWWdNalF6SURZMk5sRXlORFVnTmpZMklESTBPU0EyTmpaVU1qVTNJRFkyTlVneU5qRlJNamN6SURZMk5TQXlPRFlnTmpZelZETXlNeUEyTlRGVU16Y3dJRFl4T1ZRME1UTWdOVFl3VVRRMU5pQTBOeklnTkRVMklETXpORkUwTlRZZ01UazBJRE01TmlBNU4xRXpOakVnTkRFZ016RXlJREV3VkRJd09DQXRNakpSTVRRM0lDMHlNaUF4TURnZ04xUTJPQ0E1TTFReE1qRWdNVFE1VVRFME15QXhORGtnTVRVNElERXpOVlF4TnpNZ09UWlJNVGN6SURjNElERTJOQ0EyTlZReE5EZ2dORGxVTVRNMUlEUTBUREV6TVNBME0xRXhNekVnTkRFZ01UTTRJRE0zVkRFMk5DQXlOMVF5TURZZ01qSklNakV5VVRJM01pQXlNaUF6TVRNZ09EWlJNelV5SURFME1pQXpOVElnTWpnd1ZqSTROMXBOTWpRMElESTBPRkV5T1RJZ01qUTRJRE15TVNBeU9UZFVNelV4SURRek1GRXpOVEVnTlRBNElETTBNeUExTkRKUk16UXhJRFUxTWlBek16Y2dOVFl5VkRNeU15QTFPRGhVTWpreklEWXhOVlF5TkRZZ05qSTFVVEl3T0NBMk1qVWdNVGd4SURVNU9GRXhOakFnTlRjMklERTFOQ0ExTkRaVU1UUTNJRFEwTVZFeE5EY2dNelU0SURFMU1pQXpNamxVTVRjeUlESTRNbEV4T1RjZ01qUTRJREkwTkNBeU5EaGFJaTgrUEhCaGRHZ2dhV1E5SWsxS1dDMHlMVlJGV0MxTVR5MHlPU0lnWkQwaVRUTTFJREV4TXpoUk16VWdNVEUxTUNBMU1TQXhNVFV3U0RVMlNEWTVVVEV4TXlBeE1URXpJREUxTXlBeE1EWTVWREkwTXlBNU5EUlVNek13SURjM01WUXpPVEVnTlRReFZEUXhOaUF5TlRCVU16a3hJQzAwTUZRek16QWdMVEkzTUZReU5ETWdMVFEwTTFReE5USWdMVFUyT0ZRMk9TQXROalE1U0RVMlVUUXpJQzAyTkRrZ016a2dMVFkwTjFRek5TQXROak0zVVRZMUlDMDJNRGNnTVRFd0lDMDFORGhSTWpneklDMHpNVFlnTXpFMklEVTJVVE15TkNBeE16TWdNekkwSURJMU1WRXpNalFnTXpZNElETXhOaUEwTkRWUk1qYzRJRGczTnlBME9DQXhNVEl6VVRNMklERXhNemNnTXpVZ01URXpPRm9pTHo0OGNHRjBhQ0JwWkQwaVRVcFlMVEl0VkVWWUxVeFBMVFZFSWlCa1BTSk5NVFlnTVRBNU9WWXhNVFV3U0RJME4xWXROalE1U0RFMlZpMDFPVGhJTVRrMlZqRXdPVGxJTVRaYUlpOCtQQzlrWldaelBqeG5JSE4wY205clpUMGlZM1Z5Y21WdWRFTnZiRzl5SWlCbWFXeHNQU0pqZFhKeVpXNTBRMjlzYjNJaUlITjBjbTlyWlMxM2FXUjBhRDBpTUNJZ2RISmhibk5tYjNKdFBTSnpZMkZzWlNneExDMHhLU0krUEdjZ1pHRjBZUzF0Yld3dGJtOWtaVDBpYldGMGFDSStQR2NnWkdGMFlTMXRiV3d0Ym05a1pUMGliWE4xWWlJK1BHY2daR0YwWVMxdGJXd3RibTlrWlQwaWJXa2lQangxYzJVZ1pHRjBZUzFqUFNJeFJEUTJOQ0lnZUd4cGJtczZhSEpsWmowaUkwMUtXQzB5TFZSRldDMUpMVEZFTkRZMElpOCtQQzluUGp4bklHUmhkR0V0Ylcxc0xXNXZaR1U5SWxSbFdFRjBiMjBpSUhSeVlXNXpabTl5YlQwaWRISmhibk5zWVhSbEtEYzBPU3d0TVRVd0tTQnpZMkZzWlNnd0xqY3dOeWtpSUdSaGRHRXRiV3A0TFhSbGVHTnNZWE56UFNKUFVrUWlQanhuSUdSaGRHRXRiVzFzTFc1dlpHVTlJbTFwSWo0OGRYTmxJR1JoZEdFdFl6MGlNVVEwTlRJaUlIaHNhVzVyT21oeVpXWTlJaU5OU2xndE1pMVVSVmd0U1MweFJEUTFNaUl2UGp3dlp6NDhaeUJrWVhSaExXMXRiQzF1YjJSbFBTSnRhU0lnZEhKaGJuTm1iM0p0UFNKMGNtRnVjMnhoZEdVb05EWTJMREFwSWo0OGRYTmxJR1JoZEdFdFl6MGlNVVEwTlRNaUlIaHNhVzVyT21oeVpXWTlJaU5OU2xndE1pMVVSVmd0U1MweFJEUTFNeUl2UGp3dlp6NDhMMmMrUEM5blBqeG5JR1JoZEdFdGJXMXNMVzV2WkdVOUltMXZJaUIwY21GdWMyWnZjbTA5SW5SeVlXNXpiR0YwWlNneE56azFMaklzTUNraVBqeDFjMlVnWkdGMFlTMWpQU0l6UkNJZ2VHeHBibXM2YUhKbFpqMGlJMDFLV0MweUxWUkZXQzFPTFRORUlpOCtQQzluUGp4bklHUmhkR0V0Ylcxc0xXNXZaR1U5SW0xcElpQjBjbUZ1YzJadmNtMDlJblJ5WVc1emJHRjBaU2d5T0RVeExEQXBJajQ4ZFhObElHUmhkR0V0WXowaU1VUTBOalFpSUhoc2FXNXJPbWh5WldZOUlpTk5TbGd0TWkxVVJWZ3RTUzB4UkRRMk5DSXZQand2Wno0OFp5QmtZWFJoTFcxdGJDMXViMlJsUFNKdGJ5SWdkSEpoYm5ObWIzSnRQU0owY21GdWMyeGhkR1VvTXpjNE9TNHlMREFwSWo0OGRYTmxJR1JoZEdFdFl6MGlNa0lpSUhoc2FXNXJPbWh5WldZOUlpTk5TbGd0TWkxVVJWZ3RUaTB5UWlJdlBqd3ZaejQ4WnlCa1lYUmhMVzF0YkMxdWIyUmxQU0p0Wm5KaFl5SWdkSEpoYm5ObWIzSnRQU0owY21GdWMyeGhkR1VvTkRjNE9TNDBMREFwSWo0OFp5QmtZWFJoTFcxdGJDMXViMlJsUFNKdGNtOTNJaUIwY21GdWMyWnZjbTA5SW5SeVlXNXpiR0YwWlNneU1qQXNOamMyS1NJK1BHY2daR0YwWVMxdGJXd3RibTlrWlQwaWJXNGlQangxYzJVZ1pHRjBZUzFqUFNJek1pSWdlR3hwYm1zNmFISmxaajBpSTAxS1dDMHlMVlJGV0MxT0xUTXlJaTgrUEM5blBqeG5JR1JoZEdFdGJXMXNMVzV2WkdVOUltMXBJaUIwY21GdWMyWnZjbTA5SW5SeVlXNXpiR0YwWlNnMU1EQXNNQ2tpUGp4MWMyVWdaR0YwWVMxalBTSXlNVEJGSWlCNGJHbHVhenBvY21WbVBTSWpUVXBZTFRJdFZFVllMVWt0TWpFd1JTSXZQand2Wno0OEwyYytQR2NnWkdGMFlTMXRiV3d0Ym05a1pUMGliV2tpSUhSeVlXNXpabTl5YlQwaWRISmhibk5zWVhSbEtEUTNNeXd0TmpnMktTSStQSFZ6WlNCa1lYUmhMV005SWpGRU56QkNJaUI0YkdsdWF6cG9jbVZtUFNJalRVcFlMVEl0VkVWWUxVa3RNVVEzTUVJaUx6NDhMMmMrUEhKbFkzUWdkMmxrZEdnOUlqRXlOellpSUdobGFXZG9kRDBpTmpBaUlIZzlJakV5TUNJZ2VUMGlNakl3SWk4K1BDOW5QanhuSUdSaGRHRXRiVzFzTFc1dlpHVTlJbTF2SWlCMGNtRnVjMlp2Y20wOUluUnlZVzV6YkdGMFpTZzJOVEkzTGpZc01Da2lQangxYzJVZ1pHRjBZUzFqUFNJeU1rTTFJaUI0YkdsdWF6cG9jbVZtUFNJalRVcFlMVEl0VkVWWUxVNHRNakpETlNJdlBqd3ZaejQ4WnlCa1lYUmhMVzF0YkMxdWIyUmxQU0p0YVNJZ2RISmhibk5tYjNKdFBTSjBjbUZ1YzJ4aGRHVW9OekF5Tnk0NUxEQXBJajQ4ZFhObElHUmhkR0V0WXowaU5rTWlJSGhzYVc1ck9taHlaV1k5SWlOTlNsZ3RNaTFVUlZndFRpMDJReUl2UGp4MWMyVWdaR0YwWVMxalBTSTJSU0lnZUd4cGJtczZhSEpsWmowaUkwMUtXQzB5TFZSRldDMU9MVFpGSWlCMGNtRnVjMlp2Y20wOUluUnlZVzV6YkdGMFpTZ3lOemdzTUNraUx6NDhMMmMrUEdjZ1pHRjBZUzF0Yld3dGJtOWtaVDBpYlc4aUlIUnlZVzV6Wm05eWJUMGlkSEpoYm5Oc1lYUmxLRGM0TmpFdU9Td3dLU0krUEhWelpTQmtZWFJoTFdNOUlqSXdOakVpSUhoc2FXNXJPbWh5WldZOUlpTk5TbGd0TWkxVVJWZ3RUaTB5TURZeElpOCtQQzluUGp4bklHUmhkR0V0Ylcxc0xXNXZaR1U5SW0xeWIzY2lJSFJ5WVc1elptOXliVDBpZEhKaGJuTnNZWFJsS0Rnd01qZ3VOU3d3S1NJK1BHY2daR0YwWVMxdGJXd3RibTlrWlQwaWJXOGlJSFJ5WVc1elptOXliVDBpZEhKaGJuTnNZWFJsS0RBZ0xUQXVOU2tpUGp4MWMyVWdaR0YwWVMxalBTSTFRaUlnZUd4cGJtczZhSEpsWmowaUkwMUtXQzB5TFZSRldDMU1UeTAxUWlJdlBqd3ZaejQ4WnlCa1lYUmhMVzF0YkMxdWIyUmxQU0p0YmlJZ2RISmhibk5tYjNKdFBTSjBjbUZ1YzJ4aGRHVW9ORGN5TERBcElqNDhkWE5sSUdSaGRHRXRZejBpTXpFaUlIaHNhVzVyT21oeVpXWTlJaU5OU2xndE1pMVVSVmd0VGkwek1TSXZQangxYzJVZ1pHRjBZUzFqUFNJek55SWdlR3hwYm1zNmFISmxaajBpSTAxS1dDMHlMVlJGV0MxT0xUTTNJaUIwY21GdWMyWnZjbTA5SW5SeVlXNXpiR0YwWlNnMU1EQXNNQ2tpTHo0OGRYTmxJR1JoZEdFdFl6MGlNa1VpSUhoc2FXNXJPbWh5WldZOUlpTk5TbGd0TWkxVVJWZ3RUaTB5UlNJZ2RISmhibk5tYjNKdFBTSjBjbUZ1YzJ4aGRHVW9NVEF3TUN3d0tTSXZQangxYzJVZ1pHRjBZUzFqUFNJek1DSWdlR3hwYm1zNmFISmxaajBpSTAxS1dDMHlMVlJGV0MxT0xUTXdJaUIwY21GdWMyWnZjbTA5SW5SeVlXNXpiR0YwWlNneE1qYzRMREFwSWk4K1BIVnpaU0JrWVhSaExXTTlJak00SWlCNGJHbHVhenBvY21WbVBTSWpUVXBZTFRJdFZFVllMVTR0TXpnaUlIUnlZVzV6Wm05eWJUMGlkSEpoYm5Oc1lYUmxLREUzTnpnc01Da2lMejQ4TDJjK1BHY2daR0YwWVMxdGJXd3RibTlrWlQwaWJYSnZkeUlnZEhKaGJuTm1iM0p0UFNKMGNtRnVjMnhoZEdVb01qa3hOaTQzTERBcElqNDhaeUJrWVhSaExXMXRiQzF1YjJSbFBTSnRieUlnZEhKaGJuTm1iM0p0UFNKMGNtRnVjMnhoZEdVb01DQXRNQzQxS1NJK1BIVnpaU0JrWVhSaExXTTlJakk0SWlCNGJHbHVhenBvY21WbVBTSWpUVXBZTFRJdFZFVllMVXhQTFRJNElpOCtQQzluUGp4bklHUmhkR0V0Ylcxc0xXNXZaR1U5SW0xbWNtRmpJaUIwY21GdWMyWnZjbTA5SW5SeVlXNXpiR0YwWlNnMU9UY3NNQ2tpUGp4bklHUmhkR0V0Ylcxc0xXNXZaR1U5SW0xcElpQjBjbUZ1YzJadmNtMDlJblJ5WVc1emJHRjBaU2cwTURBc05qYzJLU0krUEhWelpTQmtZWFJoTFdNOUlqRkVORFkwSWlCNGJHbHVhenBvY21WbVBTSWpUVXBZTFRJdFZFVllMVWt0TVVRME5qUWlMejQ4TDJjK1BHY2daR0YwWVMxdGJXd3RibTlrWlQwaWJYSnZkeUlnZEhKaGJuTm1iM0p0UFNKMGNtRnVjMnhoZEdVb01qSXdMQzAyT0RZcElqNDhaeUJrWVhSaExXMXRiQzF1YjJSbFBTSnRiaUkrUEhWelpTQmtZWFJoTFdNOUlqTXlJaUI0YkdsdWF6cG9jbVZtUFNJalRVcFlMVEl0VkVWWUxVNHRNeklpTHo0OEwyYytQR2NnWkdGMFlTMXRiV3d0Ym05a1pUMGliV2tpSUhSeVlXNXpabTl5YlQwaWRISmhibk5zWVhSbEtEVXdNQ3d3S1NJK1BIVnpaU0JrWVhSaExXTTlJakl4TUVVaUlIaHNhVzVyT21oeVpXWTlJaU5OU2xndE1pMVVSVmd0U1MweU1UQkZJaTgrUEM5blBqd3ZaejQ4Y21WamRDQjNhV1IwYUQwaU1USTNOaUlnYUdWcFoyaDBQU0kyTUNJZ2VEMGlNVEl3SWlCNVBTSXlNakFpTHo0OEwyYytQR2NnWkdGMFlTMXRiV3d0Ym05a1pUMGliVzhpSUhSeVlXNXpabTl5YlQwaWRISmhibk5zWVhSbEtESXpNelV1TWl3d0tTSStQSFZ6WlNCa1lYUmhMV005SWpKQ0lpQjRiR2x1YXpwb2NtVm1QU0lqVFVwWUxUSXRWRVZZTFU0dE1rSWlMejQ4TDJjK1BHY2daR0YwWVMxdGJXd3RibTlrWlQwaWJXNGlJSFJ5WVc1elptOXliVDBpZEhKaGJuTnNZWFJsS0RNek16VXVOQ3d3S1NJK1BIVnpaU0JrWVhSaExXTTlJak13SWlCNGJHbHVhenBvY21WbVBTSWpUVXBZTFRJdFZFVllMVTR0TXpBaUx6NDhkWE5sSUdSaGRHRXRZejBpTWtVaUlIaHNhVzVyT21oeVpXWTlJaU5OU2xndE1pMVVSVmd0VGkweVJTSWdkSEpoYm5ObWIzSnRQU0owY21GdWMyeGhkR1VvTlRBd0xEQXBJaTgrUEhWelpTQmtZWFJoTFdNOUlqTTVJaUI0YkdsdWF6cG9jbVZtUFNJalRVcFlMVEl0VkVWWUxVNHRNemtpSUhSeVlXNXpabTl5YlQwaWRISmhibk5zWVhSbEtEYzNPQ3d3S1NJdlBqeDFjMlVnWkdGMFlTMWpQU0l6TWlJZ2VHeHBibXM2YUhKbFpqMGlJMDFLV0MweUxWUkZXQzFPTFRNeUlpQjBjbUZ1YzJadmNtMDlJblJ5WVc1emJHRjBaU2d4TWpjNExEQXBJaTgrUEM5blBqeG5JR1JoZEdFdGJXMXNMVzV2WkdVOUltMXZJaUIwY21GdWMyWnZjbTA5SW5SeVlXNXpiR0YwWlNnMU1URXpMalFzTUNrZ2RISmhibk5zWVhSbEtEQWdMVEF1TlNraVBqeDFjMlVnWkdGMFlTMWpQU0l5T1NJZ2VHeHBibXM2YUhKbFpqMGlJMDFLV0MweUxWUkZXQzFNVHkweU9TSXZQand2Wno0OEwyYytQR2NnWkdGMFlTMXRiV3d0Ym05a1pUMGliVzhpSUhSeVlXNXpabTl5YlQwaWRISmhibk5zWVhSbEtEZzJNamN1TVN3d0tTQjBjbUZ1YzJ4aGRHVW9NQ0F0TUM0MUtTSStQSFZ6WlNCa1lYUmhMV005SWpWRUlpQjRiR2x1YXpwb2NtVm1QU0lqVFVwWUxUSXRWRVZZTFV4UExUVkVJaTgrUEM5blBqd3ZaejQ4TDJjK1BDOW5Qand2YzNablBnPT0iLAoJIlJlYWxWaWV3U2l6ZUpzb24iIDogIntcImhlaWdodFwiOjcyOCxcIndpZHRoXCI6NjAzNn0iCn0K"/>
    </extobj>
    <extobj name="2384804F-3998-4D57-9195-F3826E402611-4">
      <extobjdata type="2384804F-3998-4D57-9195-F3826E402611" data="ewoJIkltZ1NldHRpbmdKc29uIiA6ICJ7XCJoZWlnaHRcIjo3Ni43ODU3MTQyODU3MTQyOCxcIndpZHRoXCI6Mjk2LjQyODU3MTQyODU3MTR9IiwKCSJMYXRleCIgOiAidl97XFxlbGx9ID0gXFxmcmFjezJofXtcXHBpfSBcXGNkb3QgXFxhcmN0YW4gXFxsZWZ0WyBcblxcZnJhY3sgXG5cXGZyYWN7XFxwaX17IFxcZnJhY3tcXHBpIHdfe2VmfX17Mmh9IC0gMiB9IFxcY2RvdCBcXGxlZnQoIFxcZnJhY3toXzJ9e2h9IC0gMSBcXHJpZ2h0KSBcbn17fVxuXFxyaWdodF1cbiIsCgkiTGF0ZXhJbWdCYXNlNjQiIDogIlBITjJaeUI0Yld4dWN6MGlhSFIwY0RvdkwzZDNkeTUzTXk1dmNtY3ZNakF3TUM5emRtY2lJSGRwWkhSb1BTSXpPQzR3TURabGVDSWdhR1ZwWjJoMFBTSTVMamt3TldWNElpQnliMnhsUFNKcGJXY2lJR1p2WTNWellXSnNaVDBpWm1Gc2MyVWlJSFpwWlhkQ2IzZzlJakFnTFRJME16a3VNU0F4TmpjNU9DNDNJRFF6TnpndU1TSWdlRzFzYm5NNmVHeHBibXM5SW1oMGRIQTZMeTkzZDNjdWR6TXViM0puTHpFNU9Ua3ZlR3hwYm1zaUlHRnlhV0V0YUdsa1pHVnVQU0owY25WbElpQnpkSGxzWlQwaWRtVnlkR2xqWVd3dFlXeHBaMjQ2SUMwMExqTTROMlY0T3lCdFlYZ3RkMmxrZEdnNklEazRKVHNpUGp4a1pXWnpQanh3WVhSb0lHbGtQU0pOU2xndE1pMVVSVmd0U1MweFJEUTJNeUlnWkQwaVRURTNNeUF6T0RCUk1UY3pJRFF3TlNBeE5UUWdOREExVVRFek1DQTBNRFVnTVRBMElETTNObFEyTVNBeU9EZFJOakFnTWpnMklEVTVJREk0TkZRMU9DQXlPREZVTlRZZ01qYzVWRFV6SURJM09GUTBPU0F5TnpoVU5ERWdNamM0U0RJM1VUSXhJREk0TkNBeU1TQXlPRGRSTWpFZ01qazBJREk1SURNeE5sUTFNeUF6TmpoVU9UY2dOREU1VkRFMk1DQTBOREZSTWpBeUlEUTBNU0F5TWpVZ05ERTNWREkwT1NBek5qRlJNalE1SURNME5DQXlORFlnTXpNMVVUSTBOaUF6TWprZ01qTXhJREk1TVZReU1EQWdNakF5VkRFNE1pQXhNVE5STVRneUlEZzJJREU0TnlBMk9WRXlNREFnTWpZZ01qVXdJREkyVVRJNE55QXlOaUF6TVRrZ05qQlVNelk1SURFek9WUXpPVGdnTWpJeVZEUXdPU0F5TnpkUk5EQTVJRE13TUNBME1ERWdNekUzVkRNNE15QXpORE5VTXpZMUlETTJNVlF6TlRjZ016Z3pVVE0xTnlBME1EVWdNemMySURReU5GUTBNVGNnTkRRelVUUXpOaUEwTkRNZ05EVXhJRFF5TlZRME5qY2dNelkzVVRRMk55QXpOREFnTkRVMUlESTRORlEwTVRnZ01UVTVWRE0wTnlBME1GUXlOREVnTFRFeFVURTNOeUF0TVRFZ01UTTVJREl5VVRFd01pQTFOQ0F4TURJZ01URTNVVEV3TWlBeE5EZ2dNVEV3SURFNE1WUXhOVEVnTWprNFVURTNNeUF6TmpJZ01UY3pJRE00TUZvaUx6NDhjR0YwYUNCcFpEMGlUVXBZTFRJdFZFVllMVWt0TWpFeE15SWdaRDBpVFRNME5TQXhNRFJVTXpRNUlERXdORlF6TmpFZ09UVlVNelk1SURnd1ZETTFNaUExT1ZFeU5qZ2dMVEl3SURJd05pQXRNakJSTVRjd0lDMHlNQ0F4TkRZZ00xUXhNVE1nTlROVU9Ua2dNVEEwVERrMElERXlPVkU1TkNBeE16QWdOemtnTVRFMlZEUTRJRGcyVkRJNElEY3dVVEl5SURjd0lERTFJRGM1VkRjZ09UUlJOeUE1T0NBeE1pQXhNRE5VTlRnZ01UUTNURGt4SURFM09WWXhPRFZST1RFZ01UZzJJRGt4SURFNU1WUTVNaUF5TURCUk9USWdNamd5SURFeU9DQTBNREJVTWpJeklEWXhNbFF6TXpZZ056QTFVVE01TnlBM01EVWdNemszSURZek5sWTJNamRSTXprM0lEUTFNeUF4T1RRZ01qTXpVVEU0TlNBeU1qTWdNVGd3SURJeE9GUXhOelFnTWpFeFZERTNNU0F5TURoVU1UWTFJREl3TVV3eE5qTWdNVGcyVVRFMU9TQXhORElnTVRVNUlERXlNMUV4TlRrZ01UY2dNakE0SURFM1VUSXlPQ0F4TnlBeU5UTWdNekJVTWpreklEVTJWRE16TlNBNU5GRXpORFVnTVRBMElETTBPU0F4TURSYVRUTTJNQ0EyTXpSUk16WXdJRFkxTlNBek5UUWdOall4VkRNek5pQTJOamhSTXpJNElEWTJPQ0F6TWpJZ05qWTJWRE13TWlBMk5EVlVNamN5SURVNU1sRXlOVElnTlRRM0lESXlPU0EwTmpkVU1Ua3lJRE16TUV3eE56a2dNamN6VVRFM09TQXlOeklnTVRnMklESTRNRlF5TURRZ016QXdWREl5TVNBek1qSlJNekkzSURRMU15QXpOVFVnTlRrd1VUTTJNQ0EyTVRJZ016WXdJRFl6TkZvaUx6NDhjR0YwYUNCcFpEMGlUVXBZTFRJdFZFVllMVTR0TTBRaUlHUTlJazAxTmlBek5EZFJOVFlnTXpZd0lEY3dJRE0yTjBnM01EZFJOekl5SURNMU9TQTNNaklnTXpRM1VUY3lNaUF6TXpZZ056QTRJRE15T0V3ek9UQWdNekkzU0RjeVVUVTJJRE16TWlBMU5pQXpORGRhVFRVMklERTFNMUUxTmlBeE5qZ2dOeklnTVRjelNEY3dPRkUzTWpJZ01UWXpJRGN5TWlBeE5UTlJOekl5SURFME1DQTNNRGNnTVRNelNEY3dVVFUySURFME1DQTFOaUF4TlROYUlpOCtQSEJoZEdnZ2FXUTlJazFLV0MweUxWUkZXQzFPTFRNeUlpQmtQU0pOTVRBNUlEUXlPVkU0TWlBME1qa2dOallnTkRRM1ZEVXdJRFE1TVZFMU1DQTFOaklnTVRBeklEWXhORlF5TXpVZ05qWTJVVE15TmlBMk5qWWdNemczSURZeE1GUTBORGtnTkRZMVVUUTBPU0EwTWpJZ05ESTVJRE00TTFRek9ERWdNekUxVkRNd01TQXlOREZSTWpZMUlESXhNQ0F5TURFZ01UUTVUREUwTWlBNU0wd3lNVGdnT1RKUk16YzFJRGt5SURNNE5TQTVOMUV6T1RJZ09Ua2dOREE1SURFNE5sWXhPRGxJTkRRNVZqRTRObEUwTkRnZ01UZ3pJRFF6TmlBNU5WUTBNakVnTTFZd1NEVXdWakU1VmpNeFVUVXdJRE00SURVMklEUTJWRGcySURneFVURXhOU0F4TVRNZ01UTTJJREV6TjFFeE5EVWdNVFEzSURFM01DQXhOelJVTWpBMElESXhNVlF5TXpNZ01qUTBWREkyTVNBeU56aFVNamcwSURNd09GUXpNRFVnTXpRd1ZETXlNQ0F6TmpsVU16TXpJRFF3TVZRek5EQWdORE14VkRNME15QTBOalJSTXpReklEVXlOeUF6TURrZ05UY3pWREl4TWlBMk1UbFJNVGM1SURZeE9TQXhOVFFnTmpBeVZERXhPU0ExTmpsVU1UQTVJRFUxTUZFeE1Ea2dOVFE1SURFeE5DQTFORGxSTVRNeUlEVTBPU0F4TlRFZ05UTTFWREUzTUNBME9EbFJNVGN3SURRMk5DQXhOVFFnTkRRM1ZERXdPU0EwTWpsYUlpOCtQSEJoZEdnZ2FXUTlJazFLV0MweUxWUkZXQzFKTFRJeE1FVWlJR1E5SWsweE16Y2dOamd6VVRFek9DQTJPRE1nTWpBNUlEWTRPRlF5T0RJZ05qazBVVEk1TkNBMk9UUWdNamswSURZNE5WRXlPVFFnTmpjMElESTFPQ0ExTXpSUk1qSXdJRE00TmlBeU1qQWdNemd6VVRJeU1DQXpPREVnTWpJM0lETTRPRkV5T0RnZ05EUXlJRE0xTnlBME5ESlJOREV4SURRME1pQTBORFFnTkRFMVZEUTNPQ0F6TXpaUk5EYzRJREk0TlNBME5EQWdNVGM0VkRRd01pQTFNRkUwTURNZ016WWdOREEzSURNeFZEUXlNaUF5TmxFME5UQWdNallnTkRjMElEVTJWRFV4TXlBeE16aFJOVEUySURFME9TQTFNVGtnTVRVeFZEVXpOU0F4TlROUk5UVTFJREUxTXlBMU5UVWdNVFExVVRVMU5TQXhORFFnTlRVeElERXpNRkUxTXpVZ056RWdOVEF3SURNelVUUTJOaUF0TVRBZ05ERTVJQzB4TUVnME1UUlJNelkzSUMweE1DQXpORFlnTVRkVU16STFJRGMwVVRNeU5TQTVNQ0F6TmpFZ01Ua3lWRE01T0NBek5EVlJNems0SURRd05DQXpOVFFnTkRBMFNETTBPVkV5TmpZZ05EQTBJREl3TlNBek1EWk1NVGs0SURJNU0wd3hOalFnTVRVNFVURXpNaUF5T0NBeE1qY2dNVFpSTVRFMElDMHhNU0E0TXlBdE1URlJOamtnTFRFeElEVTVJQzB5VkRRNElERTJVVFE0SURNd0lERXlNU0F6TWpCTU1UazFJRFl4TmxFeE9UVWdOakk1SURFNE9DQTJNekpVTVRRNUlEWXpOMGd4TWpoUk1USXlJRFkwTXlBeE1qSWdOalExVkRFeU5DQTJOalJSTVRJNUlEWTRNeUF4TXpjZ05qZ3pXaUl2UGp4d1lYUm9JR2xrUFNKTlNsZ3RNaTFVUlZndFNTMHhSRGN3UWlJZ1pEMGlUVEV6TWlBdE1URlJPVGdnTFRFeElEazRJREl5VmpNelRERXhNU0EyTVZFeE9EWWdNakU1SURJeU1DQXpNelJNTWpJNElETTFPRWd4T1RaUk1UVTRJRE0xT0NBeE5ESWdNelUxVkRFd015QXpNelpST1RJZ016STVJRGd4SURNeE9GUTJNaUF5T1RkVU5UTWdNamcxVVRVeElESTROQ0F6T0NBeU9EUlJNVGtnTWpnMElERTVJREk1TkZFeE9TQXpNREFnTXpnZ016STVWRGt6SURNNU1WUXhOalFnTkRJNVVURTNNU0EwTXpFZ016ZzVJRFF6TVZFMU5Ea2dORE14SURVMU15QTBNekJSTlRjeklEUXlNeUExTnpNZ05EQXlVVFUzTXlBek56RWdOVFF4SURNMk1GRTFNelVnTXpVNElEUTNNaUF6TlRoSU5EQTRURFF3TlNBek5ERlJNemt6SURJMk9TQXpPVE1nTWpJeVVUTTVNeUF4TnpBZ05EQXlJREV5T1ZRME1qRWdOalZVTkRNeElETTNVVFF6TVNBeU1DQTBNVGNnTlZRek9ERWdMVEV3VVRNM01DQXRNVEFnTXpZeklDMDNWRE0wTnlBeE4xUXpNekVnTnpkUk16TXdJRGcySURNek1DQXhNakZSTXpNd0lERTNNQ0F6TXprZ01qSTJWRE0xTnlBek1UaFVNelkzSURNMU9FZ3lOamxNTWpZNElETTFORkV5TmpnZ016VXhJREkwT1NBeU56VlVNakEySURFeE5GUXhOelVnTVRkUk1UWTBJQzB4TVNBeE16SWdMVEV4V2lJdlBqeHdZWFJvSUdsa1BTSk5TbGd0TWkxVVJWZ3RUaTB5TWtNMUlpQmtQU0pOTnpnZ01qVXdVVGM0SURJM05DQTVOU0F5T1RKVU1UTTRJRE14TUZFeE5qSWdNekV3SURFNE1DQXlPVFJVTVRrNUlESTFNVkV4T1RrZ01qSTJJREU0TWlBeU1EaFVNVE01SURFNU1GUTVOaUF5TURkVU56Z2dNalV3V2lJdlBqeHdZWFJvSUdsa1BTSk5TbGd0TWkxVVJWZ3RUaTAyTVNJZ1pEMGlUVEV6TnlBek1EVlVNVEUxSURNd05WUTNPQ0F6TWpCVU5qTWdNelU1VVRZeklETTVOQ0E1TnlBME1qRlVNakU0SURRME9GRXlPVEVnTkRRNElETXpOaUEwTVRaVU16azJJRE0wTUZFME1ERWdNekkySURRd01TQXpNRGxVTkRBeUlERTVORll4TWpSUk5EQXlJRGMySURRd055QTFPRlEwTWpnZ05EQlJORFF6SURRd0lEUTBPQ0ExTmxRME5UTWdNVEE1VmpFME5VZzBPVE5XTVRBMlVUUTVNaUEyTmlBME9UQWdOVGxSTkRneElESTVJRFExTlNBeE1sUTBNREFnTFRaVU16VXpJREV5VkRNeU9TQTFORlkxT0V3ek1qY2dOVFZSTXpJMUlEVXlJRE15TWlBME9WUXpNVFFnTkRCVU16QXlJREk1VkRJNE55QXhOMVF5TmprZ05sUXlORGNnTFRKVU1qSXhJQzA0VkRFNU1DQXRNVEZSTVRNd0lDMHhNU0E0TWlBeU1GUXpOQ0F4TURkUk16UWdNVEk0SURReElERTBOMVEyT0NBeE9EaFVNVEUySURJeU5WUXhPVFFnTWpVelZETXdOQ0F5TmpoSU16RTRWakk1TUZFek1UZ2dNekkwSURNeE1pQXpOREJSTWprd0lEUXhNU0F5TVRVZ05ERXhVVEU1TnlBME1URWdNVGd4SURReE1GUXhOVFlnTkRBMlZERTBPQ0EwTUROUk1UY3dJRE00T0NBeE56QWdNelU1VVRFM01DQXpNelFnTVRVMElETXlNRnBOTVRJMklERXdObEV4TWpZZ056VWdNVFV3SURVeFZESXdPU0F5TmxFeU5EY2dNallnTWpjMklEUTVWRE14TlNBeE1EbFJNekUzSURFeE5pQXpNVGdnTVRjMVVUTXhPQ0F5TXpNZ016RTNJREl6TTFFek1Ea2dNak16SURJNU5pQXlNekpVTWpVeElESXlNMVF4T1RNZ01qQXpWREUwTnlBeE5qWlVNVEkySURFd05sb2lMejQ4Y0dGMGFDQnBaRDBpVFVwWUxUSXRWRVZZTFU0dE56SWlJR1E5SWswek5pQTBOa2cxTUZFNE9TQTBOaUE1TnlBMk1GWTJPRkU1TnlBM055QTVOeUE1TVZRNU9DQXhNakpVT1RnZ01UWXhWRGs0SURJd00xRTVPQ0F5TXpRZ09UZ2dNalk1VkRrNElETXlPRXc1TnlBek5URlJPVFFnTXpjd0lEZ3pJRE0zTmxRek9DQXpPRFZJTWpCV05EQTRVVEl3SURRek1TQXlNaUEwTXpGTU16SWdORE15VVRReUlEUXpNeUEyTUNBME16UlVPVFlnTkRNMlVURXhNaUEwTXpjZ01UTXhJRFF6T0ZReE5qQWdORFF4VkRFM01TQTBOREpJTVRjMFZqTTNNMUV5TVRNZ05EUXhJREkzTVNBME5ERklNamMzVVRNeU1pQTBOREVnTXpReklEUXhPVlF6TmpRZ016Y3pVVE0yTkNBek5USWdNelV4SURNek4xUXpNVE1nTXpJeVVUSTRPQ0F6TWpJZ01qYzJJRE16T0ZReU5qTWdNemN5VVRJMk15QXpPREVnTWpZMUlETTRPRlF5TnpBZ05EQXdWREkzTXlBME1EVlJNamN4SURRd055QXlOVEFnTkRBeFVUSXpOQ0F6T1RNZ01qSTJJRE00TmxFeE56a2dNelF4SURFM09TQXlNRGRXTVRVMFVURTNPU0F4TkRFZ01UYzVJREV5TjFReE56a2dNVEF4VkRFNE1DQTRNVlF4T0RBZ05qWldOakZSTVRneElEVTVJREU0TXlBMU4xUXhPRGdnTlRSVU1Ua3pJRFV4VkRJd01DQTBPVlF5TURjZ05EaFVNakUySURRM1ZESXlOU0EwTjFReU16VWdORFpVTWpRMUlEUTJTREkzTmxZd1NESTJOMUV5TkRrZ015QXhOREFnTTFFek55QXpJREk0SURCSU1qQldORFpJTXpaYUlpOCtQSEJoZEdnZ2FXUTlJazFLV0MweUxWUkZXQzFPTFRZeklpQmtQU0pOTXpjd0lETXdOVlF6TkRrZ016QTFWRE14TXlBek1qQlVNamszSURNMU9GRXlPVGNnTXpneElETXhNaUF6T1RaUk16RTNJRFF3TVNBek1UY2dOREF5VkRNd055QTBNRFJSTWpneElEUXdPQ0F5TlRnZ05EQTRVVEl3T1NBME1EZ2dNVGM0SURNM05sRXhNekVnTXpJNUlERXpNU0F5TVRsUk1UTXhJREV6TnlBeE5qSWdPVEJSTWpBeklESTVJREkzTWlBeU9WRXpNVE1nTWprZ016TTRJRFUxVkRNM05DQXhNVGRSTXpjMklERXlOU0F6TnprZ01USTNWRE01TlNBeE1qbElOREE1VVRReE5TQXhNak1nTkRFMUlERXlNRkUwTVRVZ01URTJJRFF4TVNBeE1EUlVNemsxSURjeFZETTJOaUF6TTFRek1UZ2dNbFF5TkRrZ0xURXhVVEUyTXlBdE1URWdPVGtnTlROVU16UWdNakUwVVRNMElETXhPQ0E1T1NBek9ETlVNalV3SURRME9GUXpOekFnTkRJeFZEUXdOQ0F6TlRkUk5EQTBJRE16TkNBek9EY2dNekl3V2lJdlBqeHdZWFJvSUdsa1BTSk5TbGd0TWkxVVJWZ3RUaTAzTkNJZ1pEMGlUVEkzSURReU1sRTRNQ0EwTWpZZ01UQTVJRFEzT0ZReE5ERWdOakF3VmpZeE5VZ3hPREZXTkRNeFNETXhObFl6T0RWSU1UZ3hWakkwTVZFeE9ESWdNVEUySURFNE1pQXhNREJVTVRnNUlEWTRVVEl3TXlBeU9TQXlNemdnTWpsUk1qZ3lJREk1SURJNU1pQXhNREJSTWpreklERXdPQ0F5T1RNZ01UUTJWakU0TVVnek16TldNVFEyVmpFek5GRXpNek1nTlRjZ01qa3hJREUzVVRJMk5DQXRNVEFnTWpJeElDMHhNRkV4T0RjZ0xURXdJREUyTWlBeVZERXlOQ0F6TTFReE1EVWdOamhVT1RnZ01UQXdVVGszSURFd055QTVOeUF5TkRoV016ZzFTREU0VmpReU1rZ3lOMW9pTHo0OGNHRjBhQ0JwWkQwaVRVcFlMVEl0VkVWWUxVNHROa1VpSUdROUlrMDBNU0EwTmtnMU5WRTVOQ0EwTmlBeE1ESWdOakJXTmpoUk1UQXlJRGMzSURFd01pQTVNVlF4TURJZ01USXlWREV3TXlBeE5qRlVNVEF6SURJd00xRXhNRE1nTWpNMElERXdNeUF5TmpsVU1UQXlJRE15T0ZZek5URlJPVGtnTXpjd0lEZzRJRE0zTmxRME15QXpPRFZJTWpWV05EQTRVVEkxSURRek1TQXlOeUEwTXpGTU16Y2dORE15VVRRM0lEUXpNeUEyTlNBME16UlVNVEF5SURRek5sRXhNVGtnTkRNM0lERXpPQ0EwTXpoVU1UWTNJRFEwTVZReE56Z2dORFF5U0RFNE1WWTBNREpSTVRneElETTJOQ0F4T0RJZ016WTBWREU0TnlBek5qbFVNVGs1SURNNE5GUXlNVGdnTkRBeVZESTBOeUEwTWpGVU1qZzFJRFF6TjFFek1EVWdORFF5SURNek5pQTBOREpSTkRVd0lEUXpPQ0EwTmpNZ016STVVVFEyTkNBek1qSWdORFkwSURFNU1GWXhNRFJSTkRZMElEWTJJRFEyTmlBMU9WUTBOemNnTkRsUk5EazRJRFEySURVeU5pQTBOa2cxTkRKV01FZzFNelJNTlRFd0lERlJORGczSURJZ05EWXdJREpVTkRJeUlETlJNekU1SURNZ016RXdJREJJTXpBeVZqUTJTRE14T0ZFek56a2dORFlnTXpjNUlEWXlVVE00TUNBMk5DQXpPREFnTWpBd1VUTTNPU0F6TXpVZ016YzRJRE0wTTFFek56SWdNemN4SURNMU9DQXpPRFZVTXpNMElEUXdNbFF6TURnZ05EQTBVVEkyTXlBME1EUWdNakk1SURNM01GRXlNRElnTXpReklERTVOU0F6TVRWVU1UZzNJREl6TWxZeE5qaFdNVEE0VVRFNE55QTNPQ0F4T0RnZ05qaFVNVGt4SURVMVZESXdNQ0EwT1ZFeU1qRWdORFlnTWpRNUlEUTJTREkyTlZZd1NESTFOMHd5TXpRZ01WRXlNVEFnTWlBeE9ETWdNbFF4TkRVZ00xRTBNaUF6SURNeklEQklNalZXTkRaSU5ERmFJaTgrUEhCaGRHZ2dhV1E5SWsxS1dDMHlMVlJGV0MxT0xUSXdOakVpSUdROUlpSXZQanh3WVhSb0lHbGtQU0pOU2xndE1pMVVSVmd0VXpRdE1qTkJNU0lnWkQwaVRUTXhPU0F0TmpRMVZqRXhOVFJJTmpZMlZqRXdOekJJTkRBelZpMDJORFZJTXpFNVdpSXZQanh3WVhSb0lHbGtQU0pOU2xndE1pMVVSVmd0VXpRdE1qTkJNeUlnWkQwaVRUTXhPU0F0TmpRMFZqRXhOVFZJTkRBelZpMDFOakJJTmpZMlZpMDJORFJJTXpFNVdpSXZQanh3WVhSb0lHbGtQU0pOU2xndE1pMVVSVmd0VXpRdE1qTkJNaUlnWkQwaVRUTXhPU0F3VmpZd01rZzBNRE5XTUVnek1UbGFJaTgrUEhCaGRHZ2dhV1E5SWsxS1dDMHlMVlJGV0MxSkxURkVORFkwSWlCa1BTSk5OVGd3SURNNE5WRTFPREFnTkRBMklEVTVPU0EwTWpSVU5qUXhJRFEwTTFFMk5Ua2dORFF6SURZM05DQTBNalZVTmprd0lETTJPRkUyT1RBZ016TTVJRFkzTVNBeU5UTlJOalUySURFNU55QTJORFFnTVRZeFZEWXdPU0E0TUZRMU5UUWdNVEpVTkRneUlDMHhNVkUwTXpnZ0xURXhJRFF3TkNBMVZETTFOU0EwT0ZFek5UUWdORGNnTXpVeUlEUTBVVE14TVNBdE1URWdNalV5SUMweE1WRXlNallnTFRFeElESXdNaUF0TlZReE5UVWdNVFJVTVRFNElEVXpWREV3TkNBeE1UWlJNVEEwSURFM01DQXhNemdnTWpZeVZERTNNeUF6TnpsUk1UY3pJRE00TUNBeE56TWdNemd4VVRFM015QXpPVEFnTVRjeklETTVNMVF4TmprZ05EQXdWREUxT0NBME1EUklNVFUwVVRFek1TQTBNRFFnTVRFeUlETTROVlE0TWlBek5EUlVOalVnTXpBeVZEVTNJREk0TUZFMU5TQXlOemdnTkRFZ01qYzRTREkzVVRJeElESTROQ0F5TVNBeU9EZFJNakVnTWpreklESTVJRE14TlZRMU1pQXpOalpVT1RZZ05ERTRWREUyTVNBME5ERlJNakEwSURRME1TQXlNamNnTkRFMlZESTFNQ0F6TlRoUk1qVXdJRE0wTUNBeU1UY2dNalV3VkRFNE5DQXhNVEZSTVRnMElEWTFJREl3TlNBME5sUXlOVGdnTWpaUk16QXhJREkySURNek5DQTROMHd6TXprZ09UWldNVEU1VVRNek9TQXhNaklnTXpNNUlERXlPRlF6TkRBZ01UTTJWRE0wTVNBeE5ETlVNelF5SURFMU1sUXpORFVnTVRZMVZETTBPQ0F4T0RKVU16VTBJREl3TmxRek5qSWdNak00VkRNM015QXlPREZSTkRBeUlETTVOU0EwTURZZ05EQTBVVFF4T1NBME16RWdORFE1SURRek1WRTBOamdnTkRNeElEUTNOU0EwTWpGVU5EZ3pJRFF3TWxFME9ETWdNemc1SURRMU5DQXlOelJVTkRJeUlERTBNbEUwTWpBZ01UTXhJRFF5TUNBeE1EZFdNVEF3VVRReU1DQTROU0EwTWpNZ056RlVORFF5SURReVZEUTROeUF5TmxFMU5UZ2dNallnTmpBd0lERTBPRkUyTURrZ01UY3hJRFl5TUNBeU1UTlVOak15SURJM00xRTJNeklnTXpBMklEWXhPU0F6TWpWVU5Ua3pJRE0xTjFRMU9EQWdNemcxV2lJdlBqeHdZWFJvSUdsa1BTSk5TbGd0TWkxVVJWZ3RTUzB4UkRRMU1pSWdaRDBpVFRNNUlERTJPRkV6T1NBeU1qVWdOVGdnTWpjeVZERXdOeUF6TlRCVU1UYzBJRFF3TWxReU5EUWdORE16VkRNd055QTBOREpJTXpFd1VUTTFOU0EwTkRJZ016ZzRJRFF5TUZRME1qRWdNelUxVVRReU1TQXlOalVnTXpFd0lESXpOMUV5TmpFZ01qSTBJREUzTmlBeU1qTlJNVE01SURJeU15QXhNemdnTWpJeFVURXpPQ0F5TVRrZ01UTXlJREU0TmxReE1qVWdNVEk0VVRFeU5TQTRNU0F4TkRZZ05UUlVNakE1SURJMlZETXdNaUEwTlZRek9UUWdNVEV4VVRRd015QXhNakVnTkRBMklERXlNVkUwTVRBZ01USXhJRFF4T1NBeE1USlVOREk1SURrNFZEUXlNQ0E0TWxRek9UQWdOVFZVTXpRMElESTBWREk0TVNBdE1WUXlNRFVnTFRFeFVURXlOaUF0TVRFZ09ETWdOREpVTXprZ01UWTRXazB6TnpNZ016VXpVVE0yTnlBME1EVWdNekExSURRd05WRXlOeklnTkRBMUlESTBOQ0F6T1RGVU1UazVJRE0xTjFReE56QWdNekUyVkRFMU5DQXlPREJVTVRRNUlESTJNVkV4TkRrZ01qWXdJREUyT1NBeU5qQlJNamd5SURJMk1DQXpNamNnTWpnMFZETTNNeUF6TlROYUlpOCtQSEJoZEdnZ2FXUTlJazFLV0MweUxWUkZXQzFKTFRGRU5EVXpJaUJrUFNKTk1URTRJQzB4TmpKUk1USXdJQzB4TmpJZ01USTBJQzB4TmpSVU1UTTFJQzB4TmpkVU1UUTNJQzB4TmpoUk1UWXdJQzB4TmpnZ01UY3hJQzB4TlRWVU1UZzNJQzB4TWpaUk1UazNJQzA1T1NBeU1qRWdNamRVTWpZM0lESTJOMVF5T0RrZ016Z3lWak00TlVneU5ESlJNVGsxSURNNE5TQXhPVElnTXpnM1VURTRPQ0F6T1RBZ01UZzRJRE01TjB3eE9UVWdOREkxVVRFNU55QTBNekFnTWpBeklEUXpNRlF5TlRBZ05ETXhVVEk1T0NBME16RWdNams0SURRek1sRXlPVGdnTkRNMElETXdOeUEwT0RKVU16RTVJRFUwTUZFek5UWWdOekExSURRMk5TQTNNRFZSTlRBeUlEY3dNeUExTWpZZ05qZ3pWRFUxTUNBMk16QlJOVFV3SURVNU5DQTFNamtnTlRjNFZEUTROeUExTmpGUk5EUXpJRFUyTVNBME5ETWdOakF6VVRRME15QTJNaklnTkRVMElEWXpObFEwTnpnZ05qVTNURFE0TnlBMk5qSlJORGN4SURZMk9DQTBOVGNnTmpZNFVUUTBOU0EyTmpnZ05ETTBJRFkxT0ZRME1Ua2dOak13VVRReE1pQTJNREVnTkRBeklEVTFNbFF6T0RjZ05EWTVWRE00TUNBME16TlJNemd3SURRek1TQTBNelVnTkRNeFVUUTRNQ0EwTXpFZ05EZzNJRFF6TUZRME9UZ2dOREkwVVRRNU9TQTBNakFnTkRrMklEUXdOMVEwT1RFZ016a3hVVFE0T1NBek9EWWdORGd5SURNNE5sUTBNamdnTXpnMVNETTNNa3d6TkRrZ01qWXpVVE13TVNBeE5TQXlPRElnTFRRM1VUSTFOU0F0TVRNeUlESXhNaUF0TVRjelVURTNOU0F0TWpBMUlERXpPU0F0TWpBMVVURXdOeUF0TWpBMUlEZ3hJQzB4T0RaVU5UVWdMVEV6TWxFMU5TQXRPVFVnTnpZZ0xUYzRWREV4T0NBdE5qRlJNVFl5SUMwMk1TQXhOaklnTFRFd00xRXhOaklnTFRFeU1pQXhOVEVnTFRFek5sUXhNamNnTFRFMU4wd3hNVGdnTFRFMk1sb2lMejQ4Y0dGMGFDQnBaRDBpVFVwWUxUSXRWRVZZTFU0dE1qSXhNaUlnWkQwaVRUZzBJREl6TjFRNE5DQXlOVEJVT1RnZ01qY3dTRFkzT1ZFMk9UUWdNall5SURZNU5DQXlOVEJVTmpjNUlESXpNRWc1T0ZFNE5DQXlNemNnT0RRZ01qVXdXaUl2UGp4d1lYUm9JR2xrUFNKTlNsZ3RNaTFVUlZndFRFOHRNamdpSUdROUlrMHhPREFnT1RaVU1UZ3dJREkxTUZReU1EVWdOVFF4VkRJMk5pQTNOekJVTXpVeklEazBORlEwTkRRZ01UQTJPVlExTWpjZ01URTFNRWcxTlRWUk5UWXhJREV4TkRRZ05UWXhJREV4TkRGUk5UWXhJREV4TXpjZ05UUTFJREV4TWpCVU5UQTBJREV3TnpKVU5EUTNJRGs1TlZRek9EWWdPRGM0VkRNek1DQTNNakZVTWpnNElEVXhNMVF5TnpJZ01qVXhVVEkzTWlBeE16TWdNamd3SURVMlVUSTVNeUF0T0RjZ016STJJQzB5TURsVU16azVJQzAwTURWVU5EYzFJQzAxTXpGVU5UTTJJQzAyTURsVU5UWXhJQzAyTkRCUk5UWXhJQzAyTkRNZ05UVTFJQzAyTkRsSU5USTNVVFE0TXlBdE5qRXlJRFEwTXlBdE5UWTRWRE0xTXlBdE5EUXpWREkyTmlBdE1qY3dWREl3TlNBdE5ERmFJaTgrUEhCaGRHZ2dhV1E5SWsxS1dDMHlMVlJGV0MxT0xUTXhJaUJrUFNKTk1qRXpJRFUzT0V3eU1EQWdOVGN6VVRFNE5pQTFOamdnTVRZd0lEVTJNMVF4TURJZ05UVTJTRGd6VmpZd01rZ3hNREpSTVRRNUlEWXdOQ0F4T0RrZ05qRTNWREkwTlNBMk5ERlVNamN6SURZMk0xRXlOelVnTmpZMklESTROU0EyTmpaUk1qazBJRFkyTmlBek1ESWdOall3VmpNMk1Vd3pNRE1nTmpGUk16RXdJRFUwSURNeE5TQTFNbFF6TXprZ05EaFVOREF4SURRMlNEUXlOMVl3U0RReE5sRXpPVFVnTXlBeU5UY2dNMUV4TWpFZ015QXhNREFnTUVnNE9GWTBOa2d4TVRSUk1UTTJJRFEySURFMU1pQTBObFF4TnpjZ05EZFVNVGt6SURVd1ZESXdNU0ExTWxReU1EY2dOVGRVTWpFeklEWXhWalUzT0ZvaUx6NDhjR0YwYUNCcFpEMGlUVXBZTFRJdFZFVllMVXhQTFRJNUlpQmtQU0pOTXpVZ01URXpPRkV6TlNBeE1UVXdJRFV4SURFeE5UQklOVFpJTmpsUk1URXpJREV4TVRNZ01UVXpJREV3TmpsVU1qUXpJRGswTkZRek16QWdOemN4VkRNNU1TQTFOREZVTkRFMklESTFNRlF6T1RFZ0xUUXdWRE16TUNBdE1qY3dWREkwTXlBdE5EUXpWREUxTWlBdE5UWTRWRFk1SUMwMk5EbElOVFpSTkRNZ0xUWTBPU0F6T1NBdE5qUTNWRE0xSUMwMk16ZFJOalVnTFRZd055QXhNVEFnTFRVME9GRXlPRE1nTFRNeE5pQXpNVFlnTlRaUk16STBJREV6TXlBek1qUWdNalV4VVRNeU5DQXpOamdnTXpFMklEUTBOVkV5TnpnZ09EYzNJRFE0SURFeE1qTlJNellnTVRFek55QXpOU0F4TVRNNFdpSXZQanh3WVhSb0lHbGtQU0pOU2xndE1pMVVSVmd0VXpRdE1qTkJOQ0lnWkQwaVRUQWdNVEEzTUZZeE1UVTBTRE0wTjFZdE5qUTFTREkyTTFZeE1EY3dTREJhSWk4K1BIQmhkR2dnYVdROUlrMUtXQzB5TFZSRldDMVROQzB5TTBFMklpQmtQU0pOTWpZeklDMDFOakJXTVRFMU5VZ3pORGRXTFRZME5FZ3dWaTAxTmpCSU1qWXpXaUl2UGp4d1lYUm9JR2xrUFNKTlNsZ3RNaTFVUlZndFV6UXRNak5CTlNJZ1pEMGlUVEkyTXlBd1ZqWXdNa2d6TkRkV01FZ3lOak5hSWk4K1BDOWtaV1p6UGp4bklITjBjbTlyWlQwaVkzVnljbVZ1ZEVOdmJHOXlJaUJtYVd4c1BTSmpkWEp5Wlc1MFEyOXNiM0lpSUhOMGNtOXJaUzEzYVdSMGFEMGlNQ0lnZEhKaGJuTm1iM0p0UFNKelkyRnNaU2d4TEMweEtTSStQR2NnWkdGMFlTMXRiV3d0Ym05a1pUMGliV0YwYUNJK1BHY2daR0YwWVMxdGJXd3RibTlrWlQwaWJYTjFZaUkrUEdjZ1pHRjBZUzF0Yld3dGJtOWtaVDBpYldraVBqeDFjMlVnWkdGMFlTMWpQU0l4UkRRMk15SWdlR3hwYm1zNmFISmxaajBpSTAxS1dDMHlMVlJGV0MxSkxURkVORFl6SWk4K1BDOW5QanhuSUdSaGRHRXRiVzFzTFc1dlpHVTlJbFJsV0VGMGIyMGlJSFJ5WVc1elptOXliVDBpZEhKaGJuTnNZWFJsS0RVeE9Dd3RNVFV3S1NCelkyRnNaU2d3TGpjd055a2lJR1JoZEdFdGJXcDRMWFJsZUdOc1lYTnpQU0pQVWtRaVBqeG5JR1JoZEdFdGJXMXNMVzV2WkdVOUltMXBJajQ4ZFhObElHUmhkR0V0WXowaU1qRXhNeUlnZUd4cGJtczZhSEpsWmowaUkwMUtXQzB5TFZSRldDMUpMVEl4TVRNaUx6NDhMMmMrUEM5blBqd3ZaejQ4WnlCa1lYUmhMVzF0YkMxdWIyUmxQU0p0YnlJZ2RISmhibk5tYjNKdFBTSjBjbUZ1YzJ4aGRHVW9NVEUwTUM0MkxEQXBJajQ4ZFhObElHUmhkR0V0WXowaU0wUWlJSGhzYVc1ck9taHlaV1k5SWlOTlNsZ3RNaTFVUlZndFRpMHpSQ0l2UGp3dlp6NDhaeUJrWVhSaExXMXRiQzF1YjJSbFBTSnRabkpoWXlJZ2RISmhibk5tYjNKdFBTSjBjbUZ1YzJ4aGRHVW9NakU1Tmk0MExEQXBJajQ4WnlCa1lYUmhMVzF0YkMxdWIyUmxQU0p0Y205M0lpQjBjbUZ1YzJadmNtMDlJblJ5WVc1emJHRjBaU2d5TWpBc05qYzJLU0krUEdjZ1pHRjBZUzF0Yld3dGJtOWtaVDBpYlc0aVBqeDFjMlVnWkdGMFlTMWpQU0l6TWlJZ2VHeHBibXM2YUhKbFpqMGlJMDFLV0MweUxWUkZXQzFPTFRNeUlpOCtQQzluUGp4bklHUmhkR0V0Ylcxc0xXNXZaR1U5SW0xcElpQjBjbUZ1YzJadmNtMDlJblJ5WVc1emJHRjBaU2cxTURBc01Da2lQangxYzJVZ1pHRjBZUzFqUFNJeU1UQkZJaUI0YkdsdWF6cG9jbVZtUFNJalRVcFlMVEl0VkVWWUxVa3RNakV3UlNJdlBqd3ZaejQ4TDJjK1BHY2daR0YwWVMxdGJXd3RibTlrWlQwaWJXa2lJSFJ5WVc1elptOXliVDBpZEhKaGJuTnNZWFJsS0RRM015d3ROamcyS1NJK1BIVnpaU0JrWVhSaExXTTlJakZFTnpCQ0lpQjRiR2x1YXpwb2NtVm1QU0lqVFVwWUxUSXRWRVZZTFVrdE1VUTNNRUlpTHo0OEwyYytQSEpsWTNRZ2QybGtkR2c5SWpFeU56WWlJR2hsYVdkb2REMGlOakFpSUhnOUlqRXlNQ0lnZVQwaU1qSXdJaTgrUEM5blBqeG5JR1JoZEdFdGJXMXNMVzV2WkdVOUltMXZJaUIwY21GdWMyWnZjbTA5SW5SeVlXNXpiR0YwWlNnek9UTTBMallzTUNraVBqeDFjMlVnWkdGMFlTMWpQU0l5TWtNMUlpQjRiR2x1YXpwb2NtVm1QU0lqVFVwWUxUSXRWRVZZTFU0dE1qSkROU0l2UGp3dlp6NDhaeUJrWVhSaExXMXRiQzF1YjJSbFBTSnRhU0lnZEhKaGJuTm1iM0p0UFNKMGNtRnVjMnhoZEdVb05EUXpOQzQ1TERBcElqNDhkWE5sSUdSaGRHRXRZejBpTmpFaUlIaHNhVzVyT21oeVpXWTlJaU5OU2xndE1pMVVSVmd0VGkwMk1TSXZQangxYzJVZ1pHRjBZUzFqUFNJM01pSWdlR3hwYm1zNmFISmxaajBpSTAxS1dDMHlMVlJGV0MxT0xUY3lJaUIwY21GdWMyWnZjbTA5SW5SeVlXNXpiR0YwWlNnMU1EQXNNQ2tpTHo0OGRYTmxJR1JoZEdFdFl6MGlOak1pSUhoc2FXNXJPbWh5WldZOUlpTk5TbGd0TWkxVVJWZ3RUaTAyTXlJZ2RISmhibk5tYjNKdFBTSjBjbUZ1YzJ4aGRHVW9PRGt5TERBcElpOCtQSFZ6WlNCa1lYUmhMV005SWpjMElpQjRiR2x1YXpwb2NtVm1QU0lqVFVwWUxUSXRWRVZZTFU0dE56UWlJSFJ5WVc1elptOXliVDBpZEhKaGJuTnNZWFJsS0RFek16WXNNQ2tpTHo0OGRYTmxJR1JoZEdFdFl6MGlOakVpSUhoc2FXNXJPbWh5WldZOUlpTk5TbGd0TWkxVVJWZ3RUaTAyTVNJZ2RISmhibk5tYjNKdFBTSjBjbUZ1YzJ4aGRHVW9NVGN5TlN3d0tTSXZQangxYzJVZ1pHRjBZUzFqUFNJMlJTSWdlR3hwYm1zNmFISmxaajBpSTAxS1dDMHlMVlJGV0MxT0xUWkZJaUIwY21GdWMyWnZjbTA5SW5SeVlXNXpiR0YwWlNneU1qSTFMREFwSWk4K1BDOW5QanhuSUdSaGRHRXRiVzFzTFc1dlpHVTlJbTF2SWlCMGNtRnVjMlp2Y20wOUluUnlZVzV6YkdGMFpTZzNNakUxTGprc01Da2lQangxYzJVZ1pHRjBZUzFqUFNJeU1EWXhJaUI0YkdsdWF6cG9jbVZtUFNJalRVcFlMVEl0VkVWWUxVNHRNakEyTVNJdlBqd3ZaejQ4WnlCa1lYUmhMVzF0YkMxdWIyUmxQU0p0Y205M0lpQjBjbUZ1YzJadmNtMDlJblJ5WVc1emJHRjBaU2czTXpneUxqVXNNQ2tpUGp4bklHUmhkR0V0Ylcxc0xXNXZaR1U5SW0xdklqNDhkWE5sSUdSaGRHRXRZejBpTWpOQk1TSWdlR3hwYm1zNmFISmxaajBpSTAxS1dDMHlMVlJGV0MxVE5DMHlNMEV4SWlCMGNtRnVjMlp2Y20wOUluUnlZVzV6YkdGMFpTZ3dMREV5T0RVdU1Ta2lMejQ4ZFhObElHUmhkR0V0WXowaU1qTkJNeUlnZUd4cGJtczZhSEpsWmowaUkwMUtXQzB5TFZSRldDMVROQzB5TTBFeklpQjBjbUZ1YzJadmNtMDlJblJ5WVc1emJHRjBaU2d3TEMweE1qazFMakVwSWk4K1BITjJaeUIzYVdSMGFEMGlOalkzSWlCb1pXbG5hSFE5SWprNE1DNHhJaUI1UFNJdE1qUXdMakVpSUhnOUlqQWlJSFpwWlhkQ2IzZzlJakFnTWpRMUlEWTJOeUE1T0RBdU1TSStQSFZ6WlNCa1lYUmhMV005SWpJelFUSWlJSGhzYVc1ck9taHlaV1k5SWlOTlNsZ3RNaTFVUlZndFV6UXRNak5CTWlJZ2RISmhibk5tYjNKdFBTSnpZMkZzWlNneExESXVORFF5S1NJdlBqd3ZjM1puUGp3dlp6NDhaeUJrWVhSaExXMXRiQzF1YjJSbFBTSnRabkpoWXlJZ2RISmhibk5tYjNKdFBTSjBjbUZ1YzJ4aGRHVW9OalkzTERBcElqNDhaeUJrWVhSaExXMXRiQzF1YjJSbFBTSnRjbTkzSWlCMGNtRnVjMlp2Y20wOUluUnlZVzV6YkdGMFpTZ3lNakFzTVRJNE9TNDJLU0krUEdjZ1pHRjBZUzF0Yld3dGJtOWtaVDBpYldaeVlXTWlQanhuSUdSaGRHRXRiVzFzTFc1dlpHVTlJbTFwSWlCMGNtRnVjMlp2Y20wOUluUnlZVzV6YkdGMFpTZ3hNakl5TGpFc016azBLU0J6WTJGc1pTZ3dMamN3TnlraVBqeDFjMlVnWkdGMFlTMWpQU0l4UkRjd1FpSWdlR3hwYm1zNmFISmxaajBpSTAxS1dDMHlMVlJGV0MxSkxURkVOekJDSWk4K1BDOW5QanhuSUdSaGRHRXRiVzFzTFc1dlpHVTlJbTF5YjNjaUlIUnlZVzV6Wm05eWJUMGlkSEpoYm5Oc1lYUmxLREl5TUN3dE5UZ3dMakVwSUhOallXeGxLREF1TnpBM0tTSStQR2NnWkdGMFlTMXRiV3d0Ym05a1pUMGliV1p5WVdNaVBqeG5JR1JoZEdFdGJXMXNMVzV2WkdVOUltMXliM2NpSUhSeVlXNXpabTl5YlQwaWRISmhibk5zWVhSbEtESXlNQ3czTXpNdU5Da2djMk5oYkdVb01DNDNNRGNwSWo0OFp5QmtZWFJoTFcxdGJDMXViMlJsUFNKdGFTSStQSFZ6WlNCa1lYUmhMV005SWpGRU56QkNJaUI0YkdsdWF6cG9jbVZtUFNJalRVcFlMVEl0VkVWWUxVa3RNVVEzTUVJaUx6NDhMMmMrUEdjZ1pHRjBZUzF0Yld3dGJtOWtaVDBpYlhOMVlpSWdkSEpoYm5ObWIzSnRQU0owY21GdWMyeGhkR1VvTlRjd0xEQXBJajQ4WnlCa1lYUmhMVzF0YkMxdWIyUmxQU0p0YVNJK1BIVnpaU0JrWVhSaExXTTlJakZFTkRZMElpQjRiR2x1YXpwb2NtVm1QU0lqVFVwWUxUSXRWRVZZTFVrdE1VUTBOalFpTHo0OEwyYytQR2NnWkdGMFlTMXRiV3d0Ym05a1pUMGlWR1ZZUVhSdmJTSWdaR0YwWVMxdGFuZ3RkR1Y0WTJ4aGMzTTlJazlTUkNJZ2RISmhibk5tYjNKdFBTSjBjbUZ1YzJ4aGRHVW9OelE1TEMwek5URXVOQ2tpUGp4bklHUmhkR0V0Ylcxc0xXNXZaR1U5SW0xcElqNDhkWE5sSUdSaGRHRXRZejBpTVVRME5USWlJSGhzYVc1ck9taHlaV1k5SWlOTlNsZ3RNaTFVUlZndFNTMHhSRFExTWlJdlBqd3ZaejQ4WnlCa1lYUmhMVzF0YkMxdWIyUmxQU0p0YVNJZ2RISmhibk5tYjNKdFBTSjBjbUZ1YzJ4aGRHVW9ORFkyTERBcElqNDhkWE5sSUdSaGRHRXRZejBpTVVRME5UTWlJSGhzYVc1ck9taHlaV1k5SWlOTlNsZ3RNaTFVUlZndFNTMHhSRFExTXlJdlBqd3ZaejQ4TDJjK1BDOW5Qand2Wno0OFp5QmtZWFJoTFcxdGJDMXViMlJsUFNKdGNtOTNJaUIwY21GdWMyWnZjbTA5SW5SeVlXNXpiR0YwWlNnMk9ESXVPQ3d0TXpRMUtTQnpZMkZzWlNnd0xqY3dOeWtpUGp4bklHUmhkR0V0Ylcxc0xXNXZaR1U5SW0xdUlqNDhkWE5sSUdSaGRHRXRZejBpTXpJaUlIaHNhVzVyT21oeVpXWTlJaU5OU2xndE1pMVVSVmd0VGkwek1pSXZQand2Wno0OFp5QmtZWFJoTFcxdGJDMXViMlJsUFNKdGFTSWdkSEpoYm5ObWIzSnRQU0owY21GdWMyeGhkR1VvTlRBd0xEQXBJajQ4ZFhObElHUmhkR0V0WXowaU1qRXdSU0lnZUd4cGJtczZhSEpsWmowaUkwMUtXQzB5TFZSRldDMUpMVEl4TUVVaUx6NDhMMmMrUEM5blBqeHlaV04wSUhkcFpIUm9QU0l4T0RnMkxqUWlJR2hsYVdkb2REMGlOakFpSUhnOUlqRXlNQ0lnZVQwaU1qSXdJaTgrUEM5blBqeG5JR1JoZEdFdGJXMXNMVzV2WkdVOUltMXZJaUIwY21GdWMyWnZjbTA5SW5SeVlXNXpiR0YwWlNneU1USTJMalFzTUNraVBqeDFjMlVnWkdGMFlTMWpQU0l5TWpFeUlpQjRiR2x1YXpwb2NtVm1QU0lqVFVwWUxUSXRWRVZZTFU0dE1qSXhNaUl2UGp3dlp6NDhaeUJrWVhSaExXMXRiQzF1YjJSbFBTSnRiaUlnZEhKaGJuTm1iM0p0UFNKMGNtRnVjMnhoZEdVb01qa3dOQzQwTERBcElqNDhkWE5sSUdSaGRHRXRZejBpTXpJaUlIaHNhVzVyT21oeVpXWTlJaU5OU2xndE1pMVVSVmd0VGkwek1pSXZQand2Wno0OEwyYytQSEpsWTNRZ2QybGtkR2c5SWpJMk1EY3VNeUlnYUdWcFoyaDBQU0kyTUNJZ2VEMGlNVEl3SWlCNVBTSXlNakFpTHo0OEwyYytQR2NnWkdGMFlTMXRiV3d0Ym05a1pUMGliVzhpSUhSeVlXNXpabTl5YlQwaWRISmhibk5zWVhSbEtETXdOamt1TlN3d0tTSStQSFZ6WlNCa1lYUmhMV005SWpJeVF6VWlJSGhzYVc1ck9taHlaV1k5SWlOTlNsZ3RNaTFVUlZndFRpMHlNa00xSWk4K1BDOW5QanhuSUdSaGRHRXRiVzFzTFc1dlpHVTlJbTF5YjNjaUlIUnlZVzV6Wm05eWJUMGlkSEpoYm5Oc1lYUmxLRE0xTmprdU9Dd3dLU0krUEdjZ1pHRjBZUzF0Yld3dGJtOWtaVDBpYlc4aUlIUnlZVzV6Wm05eWJUMGlkSEpoYm5Oc1lYUmxLREFnTFRBdU5Ta2lQangxYzJVZ1pHRjBZUzFqUFNJeU9DSWdlR3hwYm1zNmFISmxaajBpSTAxS1dDMHlMVlJGV0MxTVR5MHlPQ0l2UGp3dlp6NDhaeUJrWVhSaExXMXRiQzF1YjJSbFBTSnRabkpoWXlJZ2RISmhibk5tYjNKdFBTSjBjbUZ1YzJ4aGRHVW9OVGszTERBcElqNDhaeUJrWVhSaExXMXRiQzF1YjJSbFBTSnRjM1ZpSWlCMGNtRnVjMlp2Y20wOUluUnlZVzV6YkdGMFpTZ3lNakFzTkRRMkxqRXBJSE5qWVd4bEtEQXVOekEzS1NJK1BHY2daR0YwWVMxdGJXd3RibTlrWlQwaWJXa2lQangxYzJVZ1pHRjBZUzFqUFNJeU1UQkZJaUI0YkdsdWF6cG9jbVZtUFNJalRVcFlMVEl0VkVWWUxVa3RNakV3UlNJdlBqd3ZaejQ4WnlCa1lYUmhMVzF0YkMxdWIyUmxQU0p0YmlJZ2RISmhibk5tYjNKdFBTSjBjbUZ1YzJ4aGRHVW9OakE1TEMweE5UQXBJSE5qWVd4bEtEQXVOekEzS1NJK1BIVnpaU0JrWVhSaExXTTlJak15SWlCNGJHbHVhenBvY21WbVBTSWpUVXBZTFRJdFZFVllMVTR0TXpJaUx6NDhMMmMrUEM5blBqeG5JR1JoZEdFdGJXMXNMVzV2WkdVOUltMXBJaUIwY21GdWMyWnZjbTA5SW5SeVlXNXpiR0YwWlNnek56UXVNeXd0TXpRMUtTQnpZMkZzWlNnd0xqY3dOeWtpUGp4MWMyVWdaR0YwWVMxalBTSXlNVEJGSWlCNGJHbHVhenBvY21WbVBTSWpUVXBZTFRJdFZFVllMVWt0TWpFd1JTSXZQand2Wno0OGNtVmpkQ0IzYVdSMGFEMGlPVEUySWlCb1pXbG5hSFE5SWpZd0lpQjRQU0l4TWpBaUlIazlJakl5TUNJdlBqd3ZaejQ4WnlCa1lYUmhMVzF0YkMxdWIyUmxQU0p0YnlJZ2RISmhibk5tYjNKdFBTSjBjbUZ1YzJ4aGRHVW9NVGszTlM0eUxEQXBJajQ4ZFhObElHUmhkR0V0WXowaU1qSXhNaUlnZUd4cGJtczZhSEpsWmowaUkwMUtXQzB5TFZSRldDMU9MVEl5TVRJaUx6NDhMMmMrUEdjZ1pHRjBZUzF0Yld3dGJtOWtaVDBpYlc0aUlIUnlZVzV6Wm05eWJUMGlkSEpoYm5Oc1lYUmxLREk1TnpVdU5Dd3dLU0krUEhWelpTQmtZWFJoTFdNOUlqTXhJaUI0YkdsdWF6cG9jbVZtUFNJalRVcFlMVEl0VkVWWUxVNHRNekVpTHo0OEwyYytQR2NnWkdGMFlTMXRiV3d0Ym05a1pUMGliVzhpSUhSeVlXNXpabTl5YlQwaWRISmhibk5zWVhSbEtETTBOelV1TkN3d0tTQjBjbUZ1YzJ4aGRHVW9NQ0F0TUM0MUtTSStQSFZ6WlNCa1lYUmhMV005SWpJNUlpQjRiR2x1YXpwb2NtVm1QU0lqVFVwWUxUSXRWRVZZTFV4UExUSTVJaTgrUEM5blBqd3ZaejQ4TDJjK1BHY2daR0YwWVMxdGJXd3RibTlrWlQwaWJYSnZkeUlnZEhKaGJuTm1iM0p0UFNKMGNtRnVjMnhoZEdVb05EQTBNUzR4TEMwMk9EWXBJaTgrUEhKbFkzUWdkMmxrZEdnOUlqYzROREl1TWlJZ2FHVnBaMmgwUFNJMk1DSWdlRDBpTVRJd0lpQjVQU0l5TWpBaUx6NDhMMmMrUEdjZ1pHRjBZUzF0Yld3dGJtOWtaVDBpYlc4aUlIUnlZVzV6Wm05eWJUMGlkSEpoYm5Oc1lYUmxLRGczTkRrdU1pd3dLU0krUEhWelpTQmtZWFJoTFdNOUlqSXpRVFFpSUhoc2FXNXJPbWh5WldZOUlpTk5TbGd0TWkxVVJWZ3RVelF0TWpOQk5DSWdkSEpoYm5ObWIzSnRQU0owY21GdWMyeGhkR1VvTUN3eE1qZzFMakVwSWk4K1BIVnpaU0JrWVhSaExXTTlJakl6UVRZaUlIaHNhVzVyT21oeVpXWTlJaU5OU2xndE1pMVVSVmd0VXpRdE1qTkJOaUlnZEhKaGJuTm1iM0p0UFNKMGNtRnVjMnhoZEdVb01Dd3RNVEk1TlM0eEtTSXZQanh6ZG1jZ2QybGtkR2c5SWpZMk55SWdhR1ZwWjJoMFBTSTVPREF1TVNJZ2VUMGlMVEkwTUM0eElpQjRQU0l3SWlCMmFXVjNRbTk0UFNJd0lESTBOU0EyTmpjZ09UZ3dMakVpUGp4MWMyVWdaR0YwWVMxalBTSXlNMEUxSWlCNGJHbHVhenBvY21WbVBTSWpUVXBZTFRJdFZFVllMVk0wTFRJelFUVWlJSFJ5WVc1elptOXliVDBpYzJOaGJHVW9NU3d5TGpRME1pa2lMejQ4TDNOMlp6NDhMMmMrUEM5blBqd3ZaejQ4TDJjK1BDOXpkbWMrIiwKCSJSZWFsVmlld1NpemVKc29uIiA6ICJ7XCJoZWlnaHRcIjoxNTQ1LFwid2lkdGhcIjo1OTI5fSIKfQo="/>
    </extobj>
  </extobjs>
</s:customData>
</file>

<file path=customXml/itemProps1.xml><?xml version="1.0" encoding="utf-8"?>
<ds:datastoreItem xmlns:ds="http://schemas.openxmlformats.org/officeDocument/2006/customXml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Traditional Methods for Effecti</vt:lpstr>
      <vt:lpstr>Embedded Microstrip Methods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Anjos de Souza</cp:lastModifiedBy>
  <cp:revision>4</cp:revision>
  <dcterms:created xsi:type="dcterms:W3CDTF">2025-03-12T15:14:00Z</dcterms:created>
  <dcterms:modified xsi:type="dcterms:W3CDTF">2025-08-01T01:05:58Z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65EB30DF545941D5977E376AC824C12E_12</vt:lpwstr>
  </property>
  <property fmtid="{D5CDD505-2E9C-101B-9397-08002B2CF9AE}" pid="3" name="KSOProductBuildVer">
    <vt:lpwstr>1033-12.2.0.21931</vt:lpwstr>
  </property>
</Properties>
</file>