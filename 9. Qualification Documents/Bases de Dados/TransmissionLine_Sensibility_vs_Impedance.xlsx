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345" windowHeight="114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<sst xmlns="http://schemas.openxmlformats.org/spreadsheetml/2006/main" count="6" uniqueCount="6">
  <si>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CPWG_W (mm)</t>
  </si>
  <si>
    <t>Freq (GHz)</t>
  </si>
  <si>
    <t>MUT_Er</t>
  </si>
  <si>
    <t>Phase (rad)</t>
  </si>
  <si>
    <t>Phase (°)</t>
  </si>
  <si>
    <t>Derivative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</si>
</sst>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3">
    <dxf>
      <alignment horizontal="center" vertical="center"/>
    </dxf>
    <dxf>
      <alignment horizontal="center" vertical="center"/>
    </dxf>
    <dxf>
      <alignment horizontal="center" vertical="center"/>
    </dxf>
    <dxf>
      <alignment horizontal="center" vertical="center"/>
    </dxf>
    <dxf>
      <numFmt numFmtId="0" formatCode="General"/>
      <alignment horizontal="center" vertical="center"/>
    </dxf>
    <dxf>
      <numFmt numFmtId="0" formatCode="General"/>
      <alignment horizontal="center" vertical="center"/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2"/>
      <tableStyleElement type="headerRow" dxfId="11"/>
      <tableStyleElement type="totalRow" dxfId="10"/>
      <tableStyleElement type="firstColumn" dxfId="9"/>
      <tableStyleElement type="lastColumn" dxfId="8"/>
      <tableStyleElement type="firstRowStripe" dxfId="7"/>
      <tableStyleElement type="firstColumnStripe" dxfId="6"/>
    </tableStyle>
    <tableStyle name="PivotStylePreset2_Accent1" table="0" count="10" xr9:uid="{267968C8-6FFD-4C36-ACC1-9EA1FD1885CA}">
      <tableStyleElement type="headerRow" dxfId="22"/>
      <tableStyleElement type="totalRow" dxfId="21"/>
      <tableStyleElement type="firstRowStripe" dxfId="20"/>
      <tableStyleElement type="firstColumnStripe" dxfId="19"/>
      <tableStyleElement type="firstSubtotalRow" dxfId="18"/>
      <tableStyleElement type="secondSubtotalRow" dxfId="17"/>
      <tableStyleElement type="firstRowSubheading" dxfId="16"/>
      <tableStyleElement type="secondRowSubheading" dxfId="15"/>
      <tableStyleElement type="pageFieldLabels" dxfId="14"/>
      <tableStyleElement type="pageFieldValues" dxfId="13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"W = 0.6 mm"</c:f>
              <c:strCache>
                <c:ptCount val="1"/>
                <c:pt idx="0">
                  <c:v>W = 0.6 mm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Sheet1!$C$2:$C$12</c:f>
              <c:numCache>
                <c:formatCode>General</c:formatCode>
                <c:ptCount val="1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</c:v>
                </c:pt>
                <c:pt idx="10">
                  <c:v>1.1</c:v>
                </c:pt>
              </c:numCache>
            </c:numRef>
          </c:xVal>
          <c:yVal>
            <c:numRef>
              <c:f>Sheet1!$E$2:$E$12</c:f>
              <c:numCache>
                <c:formatCode>General</c:formatCode>
                <c:ptCount val="11"/>
                <c:pt idx="0">
                  <c:v>-114.826471722168</c:v>
                </c:pt>
                <c:pt idx="1">
                  <c:v>-114.906685813487</c:v>
                </c:pt>
                <c:pt idx="2">
                  <c:v>-114.981170326854</c:v>
                </c:pt>
                <c:pt idx="3">
                  <c:v>-115.061384418172</c:v>
                </c:pt>
                <c:pt idx="4">
                  <c:v>-115.135868931539</c:v>
                </c:pt>
                <c:pt idx="5">
                  <c:v>-115.216083022857</c:v>
                </c:pt>
                <c:pt idx="6">
                  <c:v>-115.290567536224</c:v>
                </c:pt>
                <c:pt idx="7">
                  <c:v>-115.370781627543</c:v>
                </c:pt>
                <c:pt idx="8">
                  <c:v>-115.44526614091</c:v>
                </c:pt>
                <c:pt idx="9">
                  <c:v>-115.519750654277</c:v>
                </c:pt>
                <c:pt idx="10">
                  <c:v>-115.599964745595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"W = 0.7 mm"</c:f>
              <c:strCache>
                <c:ptCount val="1"/>
                <c:pt idx="0">
                  <c:v>W = 0.7 mm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xVal>
            <c:numRef>
              <c:f>Sheet1!$C$13:$C$23</c:f>
              <c:numCache>
                <c:formatCode>General</c:formatCode>
                <c:ptCount val="1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</c:v>
                </c:pt>
                <c:pt idx="10">
                  <c:v>1.1</c:v>
                </c:pt>
              </c:numCache>
            </c:numRef>
          </c:xVal>
          <c:yVal>
            <c:numRef>
              <c:f>Sheet1!$E$13:$E$23</c:f>
              <c:numCache>
                <c:formatCode>General</c:formatCode>
                <c:ptCount val="11"/>
                <c:pt idx="0">
                  <c:v>-115.347863315737</c:v>
                </c:pt>
                <c:pt idx="1">
                  <c:v>-115.422347829104</c:v>
                </c:pt>
                <c:pt idx="2">
                  <c:v>-115.496832342471</c:v>
                </c:pt>
                <c:pt idx="3">
                  <c:v>-115.565587277887</c:v>
                </c:pt>
                <c:pt idx="4">
                  <c:v>-115.640071791254</c:v>
                </c:pt>
                <c:pt idx="5">
                  <c:v>-115.714556304621</c:v>
                </c:pt>
                <c:pt idx="6">
                  <c:v>-115.789040817988</c:v>
                </c:pt>
                <c:pt idx="7">
                  <c:v>-115.863525331355</c:v>
                </c:pt>
                <c:pt idx="8">
                  <c:v>-115.932280266771</c:v>
                </c:pt>
                <c:pt idx="9">
                  <c:v>-116.006764780138</c:v>
                </c:pt>
                <c:pt idx="10">
                  <c:v>-116.081249293505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"W = 0.8 mm"</c:f>
              <c:strCache>
                <c:ptCount val="1"/>
                <c:pt idx="0">
                  <c:v>W = 0.8 mm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xVal>
            <c:numRef>
              <c:f>Sheet1!$C$24:$C$34</c:f>
              <c:numCache>
                <c:formatCode>General</c:formatCode>
                <c:ptCount val="1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</c:v>
                </c:pt>
                <c:pt idx="10">
                  <c:v>1.1</c:v>
                </c:pt>
              </c:numCache>
            </c:numRef>
          </c:xVal>
          <c:yVal>
            <c:numRef>
              <c:f>Sheet1!$E$24:$E$34</c:f>
              <c:numCache>
                <c:formatCode>General</c:formatCode>
                <c:ptCount val="11"/>
                <c:pt idx="0">
                  <c:v>-115.720285882572</c:v>
                </c:pt>
                <c:pt idx="1">
                  <c:v>-115.789040817988</c:v>
                </c:pt>
                <c:pt idx="2">
                  <c:v>-115.857795753404</c:v>
                </c:pt>
                <c:pt idx="3">
                  <c:v>-115.926550688819</c:v>
                </c:pt>
                <c:pt idx="4">
                  <c:v>-115.995305624235</c:v>
                </c:pt>
                <c:pt idx="5">
                  <c:v>-116.064060559651</c:v>
                </c:pt>
                <c:pt idx="6">
                  <c:v>-116.132815495067</c:v>
                </c:pt>
                <c:pt idx="7">
                  <c:v>-116.201570430482</c:v>
                </c:pt>
                <c:pt idx="8">
                  <c:v>-116.270325365898</c:v>
                </c:pt>
                <c:pt idx="9">
                  <c:v>-116.339080301314</c:v>
                </c:pt>
                <c:pt idx="10">
                  <c:v>-116.413564814681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"W = 0.9 mm"</c:f>
              <c:strCache>
                <c:ptCount val="1"/>
                <c:pt idx="0">
                  <c:v>W = 0.9 mm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dLbls>
            <c:delete val="1"/>
          </c:dLbls>
          <c:xVal>
            <c:numRef>
              <c:f>Sheet1!$C$35:$C$45</c:f>
              <c:numCache>
                <c:formatCode>General</c:formatCode>
                <c:ptCount val="11"/>
                <c:pt idx="0">
                  <c:v>1</c:v>
                </c:pt>
                <c:pt idx="1">
                  <c:v>1.01</c:v>
                </c:pt>
                <c:pt idx="2">
                  <c:v>1.02</c:v>
                </c:pt>
                <c:pt idx="3">
                  <c:v>1.03</c:v>
                </c:pt>
                <c:pt idx="4">
                  <c:v>1.04</c:v>
                </c:pt>
                <c:pt idx="5">
                  <c:v>1.05</c:v>
                </c:pt>
                <c:pt idx="6">
                  <c:v>1.06</c:v>
                </c:pt>
                <c:pt idx="7">
                  <c:v>1.07</c:v>
                </c:pt>
                <c:pt idx="8">
                  <c:v>1.08</c:v>
                </c:pt>
                <c:pt idx="9">
                  <c:v>1.09</c:v>
                </c:pt>
                <c:pt idx="10">
                  <c:v>1.1</c:v>
                </c:pt>
              </c:numCache>
            </c:numRef>
          </c:xVal>
          <c:yVal>
            <c:numRef>
              <c:f>Sheet1!$E$35:$E$45</c:f>
              <c:numCache>
                <c:formatCode>General</c:formatCode>
                <c:ptCount val="11"/>
                <c:pt idx="0">
                  <c:v>-116.012494358089</c:v>
                </c:pt>
                <c:pt idx="1">
                  <c:v>-116.081249293505</c:v>
                </c:pt>
                <c:pt idx="2">
                  <c:v>-116.144274650969</c:v>
                </c:pt>
                <c:pt idx="3">
                  <c:v>-116.207300008434</c:v>
                </c:pt>
                <c:pt idx="4">
                  <c:v>-116.276054943849</c:v>
                </c:pt>
                <c:pt idx="5">
                  <c:v>-116.339080301314</c:v>
                </c:pt>
                <c:pt idx="6">
                  <c:v>-116.407835236729</c:v>
                </c:pt>
                <c:pt idx="7">
                  <c:v>-116.470860594194</c:v>
                </c:pt>
                <c:pt idx="8">
                  <c:v>-116.533885951658</c:v>
                </c:pt>
                <c:pt idx="9">
                  <c:v>-116.602640887074</c:v>
                </c:pt>
                <c:pt idx="10">
                  <c:v>-116.665666244538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86803"/>
        <c:axId val="238815514"/>
      </c:scatterChart>
      <c:valAx>
        <c:axId val="2218868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815514"/>
        <c:crosses val="autoZero"/>
        <c:crossBetween val="midCat"/>
      </c:valAx>
      <c:valAx>
        <c:axId val="2388155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88680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Sheet1!$A$2:$A$45</c:f>
              <c:numCache>
                <c:formatCode>General</c:formatCode>
                <c:ptCount val="44"/>
                <c:pt idx="0">
                  <c:v>0.6</c:v>
                </c:pt>
                <c:pt idx="1">
                  <c:v>0.6</c:v>
                </c:pt>
                <c:pt idx="2">
                  <c:v>0.6</c:v>
                </c:pt>
                <c:pt idx="3">
                  <c:v>0.6</c:v>
                </c:pt>
                <c:pt idx="4">
                  <c:v>0.6</c:v>
                </c:pt>
                <c:pt idx="5">
                  <c:v>0.6</c:v>
                </c:pt>
                <c:pt idx="6">
                  <c:v>0.6</c:v>
                </c:pt>
                <c:pt idx="7">
                  <c:v>0.6</c:v>
                </c:pt>
                <c:pt idx="8">
                  <c:v>0.6</c:v>
                </c:pt>
                <c:pt idx="9">
                  <c:v>0.6</c:v>
                </c:pt>
                <c:pt idx="10">
                  <c:v>0.6</c:v>
                </c:pt>
                <c:pt idx="11">
                  <c:v>0.7</c:v>
                </c:pt>
                <c:pt idx="12">
                  <c:v>0.7</c:v>
                </c:pt>
                <c:pt idx="13">
                  <c:v>0.7</c:v>
                </c:pt>
                <c:pt idx="14">
                  <c:v>0.7</c:v>
                </c:pt>
                <c:pt idx="15">
                  <c:v>0.7</c:v>
                </c:pt>
                <c:pt idx="16">
                  <c:v>0.7</c:v>
                </c:pt>
                <c:pt idx="17">
                  <c:v>0.7</c:v>
                </c:pt>
                <c:pt idx="18">
                  <c:v>0.7</c:v>
                </c:pt>
                <c:pt idx="19">
                  <c:v>0.7</c:v>
                </c:pt>
                <c:pt idx="20">
                  <c:v>0.7</c:v>
                </c:pt>
                <c:pt idx="21">
                  <c:v>0.7</c:v>
                </c:pt>
                <c:pt idx="22">
                  <c:v>0.8</c:v>
                </c:pt>
                <c:pt idx="23">
                  <c:v>0.8</c:v>
                </c:pt>
                <c:pt idx="24">
                  <c:v>0.8</c:v>
                </c:pt>
                <c:pt idx="25">
                  <c:v>0.8</c:v>
                </c:pt>
                <c:pt idx="26">
                  <c:v>0.8</c:v>
                </c:pt>
                <c:pt idx="27">
                  <c:v>0.8</c:v>
                </c:pt>
                <c:pt idx="28">
                  <c:v>0.8</c:v>
                </c:pt>
                <c:pt idx="29">
                  <c:v>0.8</c:v>
                </c:pt>
                <c:pt idx="30">
                  <c:v>0.8</c:v>
                </c:pt>
                <c:pt idx="31">
                  <c:v>0.8</c:v>
                </c:pt>
                <c:pt idx="32">
                  <c:v>0.8</c:v>
                </c:pt>
                <c:pt idx="33">
                  <c:v>0.9</c:v>
                </c:pt>
                <c:pt idx="34">
                  <c:v>0.9</c:v>
                </c:pt>
                <c:pt idx="35">
                  <c:v>0.9</c:v>
                </c:pt>
                <c:pt idx="36">
                  <c:v>0.9</c:v>
                </c:pt>
                <c:pt idx="37">
                  <c:v>0.9</c:v>
                </c:pt>
                <c:pt idx="38">
                  <c:v>0.9</c:v>
                </c:pt>
                <c:pt idx="39">
                  <c:v>0.9</c:v>
                </c:pt>
                <c:pt idx="40">
                  <c:v>0.9</c:v>
                </c:pt>
                <c:pt idx="41">
                  <c:v>0.9</c:v>
                </c:pt>
                <c:pt idx="42">
                  <c:v>0.9</c:v>
                </c:pt>
                <c:pt idx="43">
                  <c:v>0.9</c:v>
                </c:pt>
              </c:numCache>
            </c:numRef>
          </c:xVal>
          <c:yVal>
            <c:numRef>
              <c:f>Sheet1!$F$2:$F$45</c:f>
              <c:numCache>
                <c:formatCode>General</c:formatCode>
                <c:ptCount val="44"/>
                <c:pt idx="0">
                  <c:v>-7.73493023426567</c:v>
                </c:pt>
                <c:pt idx="1">
                  <c:v>-7.73493023426567</c:v>
                </c:pt>
                <c:pt idx="2">
                  <c:v>-7.73493023426567</c:v>
                </c:pt>
                <c:pt idx="3">
                  <c:v>-7.73493023426567</c:v>
                </c:pt>
                <c:pt idx="4">
                  <c:v>-7.73493023426567</c:v>
                </c:pt>
                <c:pt idx="5">
                  <c:v>-7.73493023426567</c:v>
                </c:pt>
                <c:pt idx="6">
                  <c:v>-7.73493023426567</c:v>
                </c:pt>
                <c:pt idx="7">
                  <c:v>-7.73493023426567</c:v>
                </c:pt>
                <c:pt idx="8">
                  <c:v>-7.73493023426567</c:v>
                </c:pt>
                <c:pt idx="9">
                  <c:v>-7.73493023426567</c:v>
                </c:pt>
                <c:pt idx="10">
                  <c:v>-7.73493023426567</c:v>
                </c:pt>
                <c:pt idx="11">
                  <c:v>-7.3338597776744</c:v>
                </c:pt>
                <c:pt idx="12">
                  <c:v>-7.3338597776744</c:v>
                </c:pt>
                <c:pt idx="13">
                  <c:v>-7.3338597776744</c:v>
                </c:pt>
                <c:pt idx="14">
                  <c:v>-7.3338597776744</c:v>
                </c:pt>
                <c:pt idx="15">
                  <c:v>-7.3338597776744</c:v>
                </c:pt>
                <c:pt idx="16">
                  <c:v>-7.3338597776744</c:v>
                </c:pt>
                <c:pt idx="17">
                  <c:v>-7.3338597776744</c:v>
                </c:pt>
                <c:pt idx="18">
                  <c:v>-7.3338597776744</c:v>
                </c:pt>
                <c:pt idx="19">
                  <c:v>-7.3338597776744</c:v>
                </c:pt>
                <c:pt idx="20">
                  <c:v>-7.3338597776744</c:v>
                </c:pt>
                <c:pt idx="21">
                  <c:v>-7.3338597776744</c:v>
                </c:pt>
                <c:pt idx="22">
                  <c:v>-6.93278932108284</c:v>
                </c:pt>
                <c:pt idx="23">
                  <c:v>-6.93278932108284</c:v>
                </c:pt>
                <c:pt idx="24">
                  <c:v>-6.93278932108284</c:v>
                </c:pt>
                <c:pt idx="25">
                  <c:v>-6.93278932108284</c:v>
                </c:pt>
                <c:pt idx="26">
                  <c:v>-6.93278932108284</c:v>
                </c:pt>
                <c:pt idx="27">
                  <c:v>-6.93278932108284</c:v>
                </c:pt>
                <c:pt idx="28">
                  <c:v>-6.93278932108284</c:v>
                </c:pt>
                <c:pt idx="29">
                  <c:v>-6.93278932108284</c:v>
                </c:pt>
                <c:pt idx="30">
                  <c:v>-6.93278932108284</c:v>
                </c:pt>
                <c:pt idx="31">
                  <c:v>-6.93278932108284</c:v>
                </c:pt>
                <c:pt idx="32">
                  <c:v>-6.93278932108284</c:v>
                </c:pt>
                <c:pt idx="33">
                  <c:v>-6.53171886449143</c:v>
                </c:pt>
                <c:pt idx="34">
                  <c:v>-6.53171886449143</c:v>
                </c:pt>
                <c:pt idx="35">
                  <c:v>-6.53171886449143</c:v>
                </c:pt>
                <c:pt idx="36">
                  <c:v>-6.53171886449143</c:v>
                </c:pt>
                <c:pt idx="37">
                  <c:v>-6.53171886449143</c:v>
                </c:pt>
                <c:pt idx="38">
                  <c:v>-6.53171886449143</c:v>
                </c:pt>
                <c:pt idx="39">
                  <c:v>-6.53171886449143</c:v>
                </c:pt>
                <c:pt idx="40">
                  <c:v>-6.53171886449143</c:v>
                </c:pt>
                <c:pt idx="41">
                  <c:v>-6.53171886449143</c:v>
                </c:pt>
                <c:pt idx="42">
                  <c:v>-6.53171886449143</c:v>
                </c:pt>
                <c:pt idx="43">
                  <c:v>-6.53171886449143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1886803"/>
        <c:axId val="238815514"/>
      </c:scatterChart>
      <c:valAx>
        <c:axId val="2218868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38815514"/>
        <c:crosses val="autoZero"/>
        <c:crossBetween val="midCat"/>
      </c:valAx>
      <c:valAx>
        <c:axId val="23881551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21886803"/>
        <c:crosses val="autoZero"/>
        <c:crossBetween val="midCat"/>
      </c:valAx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746e52-a8ed-4883-9597-4736826be49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9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19050" cap="rnd">
        <a:solidFill>
          <a:schemeClr val="phClr"/>
        </a:solidFill>
        <a:round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34925</xdr:colOff>
      <xdr:row>1</xdr:row>
      <xdr:rowOff>25400</xdr:rowOff>
    </xdr:from>
    <xdr:to>
      <xdr:col>14</xdr:col>
      <xdr:colOff>593725</xdr:colOff>
      <xdr:row>34</xdr:row>
      <xdr:rowOff>186690</xdr:rowOff>
    </xdr:to>
    <xdr:graphicFrame>
      <xdr:nvGraphicFramePr>
        <xdr:cNvPr id="2" name="Chart 1"/>
        <xdr:cNvGraphicFramePr/>
      </xdr:nvGraphicFramePr>
      <xdr:xfrm>
        <a:off x="5597525" y="215900"/>
        <a:ext cx="4546600" cy="6447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31750</xdr:colOff>
      <xdr:row>1</xdr:row>
      <xdr:rowOff>9525</xdr:rowOff>
    </xdr:from>
    <xdr:to>
      <xdr:col>23</xdr:col>
      <xdr:colOff>590550</xdr:colOff>
      <xdr:row>34</xdr:row>
      <xdr:rowOff>170815</xdr:rowOff>
    </xdr:to>
    <xdr:graphicFrame>
      <xdr:nvGraphicFramePr>
        <xdr:cNvPr id="3" name="Chart 2"/>
        <xdr:cNvGraphicFramePr/>
      </xdr:nvGraphicFramePr>
      <xdr:xfrm>
        <a:off x="10394950" y="200025"/>
        <a:ext cx="4511675" cy="64477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1:F45" totalsRowShown="0">
  <autoFilter xmlns:etc="http://www.wps.cn/officeDocument/2017/etCustomData" ref="A1:F45" etc:filterBottomFollowUsedRange="0"/>
  <tableColumns count="6">
    <tableColumn id="1" name="CPWG_W (mm)" dataDxfId="0"/>
    <tableColumn id="2" name="Freq (GHz)" dataDxfId="1"/>
    <tableColumn id="3" name="MUT_Er" dataDxfId="2"/>
    <tableColumn id="4" name="Phase (rad)" dataDxfId="3"/>
    <tableColumn id="5" name="Phase (°)" dataDxfId="4">
      <calculatedColumnFormula>D2*180/PI()</calculatedColumnFormula>
    </tableColumn>
    <tableColumn id="6" name="Derivative" dataDxfId="5">
      <calculatedColumnFormula>(E2-E12)/(C2-C12)</calculatedColumnFormula>
    </tableColumn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5"/>
  <sheetViews>
    <sheetView tabSelected="1" workbookViewId="0">
      <selection activeCell="H1" sqref="H1"/>
    </sheetView>
  </sheetViews>
  <sheetFormatPr defaultColWidth="9.14285714285714" defaultRowHeight="15" outlineLevelCol="5"/>
  <cols>
    <col min="1" max="1" width="15.2857142857143" style="1" customWidth="1"/>
    <col min="2" max="2" width="11.7142857142857" style="1" customWidth="1"/>
    <col min="3" max="3" width="9.14285714285714" style="1"/>
    <col min="4" max="4" width="12.1428571428571" style="1" customWidth="1"/>
    <col min="5" max="6" width="15.8571428571429" style="1" customWidth="1"/>
    <col min="7" max="7" width="3.42857142857143" customWidth="1"/>
    <col min="15" max="15" width="4.71428571428571" customWidth="1"/>
    <col min="16" max="16" width="3.28571428571429" customWidth="1"/>
    <col min="17" max="17" width="4.4285714285714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1">
        <v>0.6</v>
      </c>
      <c r="B2" s="1">
        <v>5</v>
      </c>
      <c r="C2" s="1">
        <v>1</v>
      </c>
      <c r="D2" s="1">
        <v>-2.0041</v>
      </c>
      <c r="E2" s="2">
        <f t="shared" ref="E2:E45" si="0">D2*180/PI()</f>
        <v>-114.826471722168</v>
      </c>
      <c r="F2" s="2">
        <f>(E2-E12)/(C2-C12)</f>
        <v>-7.73493023426567</v>
      </c>
    </row>
    <row r="3" spans="1:6">
      <c r="A3" s="1">
        <v>0.6</v>
      </c>
      <c r="B3" s="1">
        <v>5</v>
      </c>
      <c r="C3" s="1">
        <v>1.01</v>
      </c>
      <c r="D3" s="1">
        <v>-2.0055</v>
      </c>
      <c r="E3" s="2">
        <f t="shared" si="0"/>
        <v>-114.906685813487</v>
      </c>
      <c r="F3" s="2">
        <v>-7.73493023426567</v>
      </c>
    </row>
    <row r="4" spans="1:6">
      <c r="A4" s="1">
        <v>0.6</v>
      </c>
      <c r="B4" s="1">
        <v>5</v>
      </c>
      <c r="C4" s="1">
        <v>1.02</v>
      </c>
      <c r="D4" s="1">
        <v>-2.0068</v>
      </c>
      <c r="E4" s="2">
        <f t="shared" si="0"/>
        <v>-114.981170326854</v>
      </c>
      <c r="F4" s="2">
        <v>-7.73493023426567</v>
      </c>
    </row>
    <row r="5" spans="1:6">
      <c r="A5" s="1">
        <v>0.6</v>
      </c>
      <c r="B5" s="1">
        <v>5</v>
      </c>
      <c r="C5" s="1">
        <v>1.03</v>
      </c>
      <c r="D5" s="1">
        <v>-2.0082</v>
      </c>
      <c r="E5" s="2">
        <f t="shared" si="0"/>
        <v>-115.061384418172</v>
      </c>
      <c r="F5" s="2">
        <v>-7.73493023426567</v>
      </c>
    </row>
    <row r="6" spans="1:6">
      <c r="A6" s="1">
        <v>0.6</v>
      </c>
      <c r="B6" s="1">
        <v>5</v>
      </c>
      <c r="C6" s="1">
        <v>1.04</v>
      </c>
      <c r="D6" s="1">
        <v>-2.0095</v>
      </c>
      <c r="E6" s="2">
        <f t="shared" si="0"/>
        <v>-115.135868931539</v>
      </c>
      <c r="F6" s="2">
        <v>-7.73493023426567</v>
      </c>
    </row>
    <row r="7" spans="1:6">
      <c r="A7" s="1">
        <v>0.6</v>
      </c>
      <c r="B7" s="1">
        <v>5</v>
      </c>
      <c r="C7" s="1">
        <v>1.05</v>
      </c>
      <c r="D7" s="1">
        <v>-2.0109</v>
      </c>
      <c r="E7" s="2">
        <f t="shared" si="0"/>
        <v>-115.216083022857</v>
      </c>
      <c r="F7" s="2">
        <v>-7.73493023426567</v>
      </c>
    </row>
    <row r="8" spans="1:6">
      <c r="A8" s="1">
        <v>0.6</v>
      </c>
      <c r="B8" s="1">
        <v>5</v>
      </c>
      <c r="C8" s="1">
        <v>1.06</v>
      </c>
      <c r="D8" s="1">
        <v>-2.0122</v>
      </c>
      <c r="E8" s="2">
        <f t="shared" si="0"/>
        <v>-115.290567536224</v>
      </c>
      <c r="F8" s="2">
        <v>-7.73493023426567</v>
      </c>
    </row>
    <row r="9" spans="1:6">
      <c r="A9" s="1">
        <v>0.6</v>
      </c>
      <c r="B9" s="1">
        <v>5</v>
      </c>
      <c r="C9" s="1">
        <v>1.07</v>
      </c>
      <c r="D9" s="1">
        <v>-2.0136</v>
      </c>
      <c r="E9" s="2">
        <f t="shared" si="0"/>
        <v>-115.370781627543</v>
      </c>
      <c r="F9" s="2">
        <v>-7.73493023426567</v>
      </c>
    </row>
    <row r="10" spans="1:6">
      <c r="A10" s="1">
        <v>0.6</v>
      </c>
      <c r="B10" s="1">
        <v>5</v>
      </c>
      <c r="C10" s="1">
        <v>1.08</v>
      </c>
      <c r="D10" s="1">
        <v>-2.0149</v>
      </c>
      <c r="E10" s="2">
        <f t="shared" si="0"/>
        <v>-115.44526614091</v>
      </c>
      <c r="F10" s="2">
        <v>-7.73493023426567</v>
      </c>
    </row>
    <row r="11" spans="1:6">
      <c r="A11" s="1">
        <v>0.6</v>
      </c>
      <c r="B11" s="1">
        <v>5</v>
      </c>
      <c r="C11" s="1">
        <v>1.09</v>
      </c>
      <c r="D11" s="1">
        <v>-2.0162</v>
      </c>
      <c r="E11" s="2">
        <f t="shared" si="0"/>
        <v>-115.519750654277</v>
      </c>
      <c r="F11" s="2">
        <v>-7.73493023426567</v>
      </c>
    </row>
    <row r="12" spans="1:6">
      <c r="A12" s="1">
        <v>0.6</v>
      </c>
      <c r="B12" s="1">
        <v>5</v>
      </c>
      <c r="C12" s="1">
        <v>1.1</v>
      </c>
      <c r="D12" s="1">
        <v>-2.0176</v>
      </c>
      <c r="E12" s="2">
        <f t="shared" si="0"/>
        <v>-115.599964745595</v>
      </c>
      <c r="F12" s="2">
        <v>-7.73493023426567</v>
      </c>
    </row>
    <row r="13" spans="1:6">
      <c r="A13" s="1">
        <v>0.7</v>
      </c>
      <c r="B13" s="1">
        <v>5</v>
      </c>
      <c r="C13" s="1">
        <v>1</v>
      </c>
      <c r="D13" s="1">
        <v>-2.0132</v>
      </c>
      <c r="E13" s="2">
        <f t="shared" si="0"/>
        <v>-115.347863315737</v>
      </c>
      <c r="F13" s="2">
        <f>(E13-E23)/(C13-C23)</f>
        <v>-7.3338597776744</v>
      </c>
    </row>
    <row r="14" spans="1:6">
      <c r="A14" s="1">
        <v>0.7</v>
      </c>
      <c r="B14" s="1">
        <v>5</v>
      </c>
      <c r="C14" s="1">
        <v>1.01</v>
      </c>
      <c r="D14" s="1">
        <v>-2.0145</v>
      </c>
      <c r="E14" s="2">
        <f t="shared" si="0"/>
        <v>-115.422347829104</v>
      </c>
      <c r="F14" s="2">
        <v>-7.3338597776744</v>
      </c>
    </row>
    <row r="15" spans="1:6">
      <c r="A15" s="1">
        <v>0.7</v>
      </c>
      <c r="B15" s="1">
        <v>5</v>
      </c>
      <c r="C15" s="1">
        <v>1.02</v>
      </c>
      <c r="D15" s="1">
        <v>-2.0158</v>
      </c>
      <c r="E15" s="2">
        <f t="shared" si="0"/>
        <v>-115.496832342471</v>
      </c>
      <c r="F15" s="2">
        <v>-7.3338597776744</v>
      </c>
    </row>
    <row r="16" spans="1:6">
      <c r="A16" s="1">
        <v>0.7</v>
      </c>
      <c r="B16" s="1">
        <v>5</v>
      </c>
      <c r="C16" s="1">
        <v>1.03</v>
      </c>
      <c r="D16" s="1">
        <v>-2.017</v>
      </c>
      <c r="E16" s="2">
        <f t="shared" si="0"/>
        <v>-115.565587277887</v>
      </c>
      <c r="F16" s="2">
        <v>-7.3338597776744</v>
      </c>
    </row>
    <row r="17" spans="1:6">
      <c r="A17" s="1">
        <v>0.7</v>
      </c>
      <c r="B17" s="1">
        <v>5</v>
      </c>
      <c r="C17" s="1">
        <v>1.04</v>
      </c>
      <c r="D17" s="1">
        <v>-2.0183</v>
      </c>
      <c r="E17" s="2">
        <f t="shared" si="0"/>
        <v>-115.640071791254</v>
      </c>
      <c r="F17" s="2">
        <v>-7.3338597776744</v>
      </c>
    </row>
    <row r="18" spans="1:6">
      <c r="A18" s="1">
        <v>0.7</v>
      </c>
      <c r="B18" s="1">
        <v>5</v>
      </c>
      <c r="C18" s="1">
        <v>1.05</v>
      </c>
      <c r="D18" s="1">
        <v>-2.0196</v>
      </c>
      <c r="E18" s="2">
        <f t="shared" si="0"/>
        <v>-115.714556304621</v>
      </c>
      <c r="F18" s="2">
        <v>-7.3338597776744</v>
      </c>
    </row>
    <row r="19" spans="1:6">
      <c r="A19" s="1">
        <v>0.7</v>
      </c>
      <c r="B19" s="1">
        <v>5</v>
      </c>
      <c r="C19" s="1">
        <v>1.06</v>
      </c>
      <c r="D19" s="1">
        <v>-2.0209</v>
      </c>
      <c r="E19" s="2">
        <f t="shared" si="0"/>
        <v>-115.789040817988</v>
      </c>
      <c r="F19" s="2">
        <v>-7.3338597776744</v>
      </c>
    </row>
    <row r="20" spans="1:6">
      <c r="A20" s="1">
        <v>0.7</v>
      </c>
      <c r="B20" s="1">
        <v>5</v>
      </c>
      <c r="C20" s="1">
        <v>1.07</v>
      </c>
      <c r="D20" s="1">
        <v>-2.0222</v>
      </c>
      <c r="E20" s="2">
        <f t="shared" si="0"/>
        <v>-115.863525331355</v>
      </c>
      <c r="F20" s="2">
        <v>-7.3338597776744</v>
      </c>
    </row>
    <row r="21" spans="1:6">
      <c r="A21" s="1">
        <v>0.7</v>
      </c>
      <c r="B21" s="1">
        <v>5</v>
      </c>
      <c r="C21" s="1">
        <v>1.08</v>
      </c>
      <c r="D21" s="1">
        <v>-2.0234</v>
      </c>
      <c r="E21" s="2">
        <f t="shared" si="0"/>
        <v>-115.932280266771</v>
      </c>
      <c r="F21" s="2">
        <v>-7.3338597776744</v>
      </c>
    </row>
    <row r="22" spans="1:6">
      <c r="A22" s="1">
        <v>0.7</v>
      </c>
      <c r="B22" s="1">
        <v>5</v>
      </c>
      <c r="C22" s="1">
        <v>1.09</v>
      </c>
      <c r="D22" s="1">
        <v>-2.0247</v>
      </c>
      <c r="E22" s="2">
        <f t="shared" si="0"/>
        <v>-116.006764780138</v>
      </c>
      <c r="F22" s="2">
        <v>-7.3338597776744</v>
      </c>
    </row>
    <row r="23" spans="1:6">
      <c r="A23" s="1">
        <v>0.7</v>
      </c>
      <c r="B23" s="1">
        <v>5</v>
      </c>
      <c r="C23" s="1">
        <v>1.1</v>
      </c>
      <c r="D23" s="1">
        <v>-2.026</v>
      </c>
      <c r="E23" s="2">
        <f t="shared" si="0"/>
        <v>-116.081249293505</v>
      </c>
      <c r="F23" s="2">
        <v>-7.3338597776744</v>
      </c>
    </row>
    <row r="24" spans="1:6">
      <c r="A24" s="1">
        <v>0.8</v>
      </c>
      <c r="B24" s="1">
        <v>5</v>
      </c>
      <c r="C24" s="1">
        <v>1</v>
      </c>
      <c r="D24" s="1">
        <v>-2.0197</v>
      </c>
      <c r="E24" s="2">
        <f t="shared" si="0"/>
        <v>-115.720285882572</v>
      </c>
      <c r="F24" s="2">
        <f>(E24-E34)/(C24-C34)</f>
        <v>-6.93278932108284</v>
      </c>
    </row>
    <row r="25" spans="1:6">
      <c r="A25" s="1">
        <v>0.8</v>
      </c>
      <c r="B25" s="1">
        <v>5</v>
      </c>
      <c r="C25" s="1">
        <v>1.01</v>
      </c>
      <c r="D25" s="1">
        <v>-2.0209</v>
      </c>
      <c r="E25" s="2">
        <f t="shared" si="0"/>
        <v>-115.789040817988</v>
      </c>
      <c r="F25" s="2">
        <v>-6.93278932108284</v>
      </c>
    </row>
    <row r="26" spans="1:6">
      <c r="A26" s="1">
        <v>0.8</v>
      </c>
      <c r="B26" s="1">
        <v>5</v>
      </c>
      <c r="C26" s="1">
        <v>1.02</v>
      </c>
      <c r="D26" s="1">
        <v>-2.0221</v>
      </c>
      <c r="E26" s="2">
        <f t="shared" si="0"/>
        <v>-115.857795753404</v>
      </c>
      <c r="F26" s="2">
        <v>-6.93278932108284</v>
      </c>
    </row>
    <row r="27" spans="1:6">
      <c r="A27" s="1">
        <v>0.8</v>
      </c>
      <c r="B27" s="1">
        <v>5</v>
      </c>
      <c r="C27" s="1">
        <v>1.03</v>
      </c>
      <c r="D27" s="1">
        <v>-2.0233</v>
      </c>
      <c r="E27" s="2">
        <f t="shared" si="0"/>
        <v>-115.926550688819</v>
      </c>
      <c r="F27" s="2">
        <v>-6.93278932108284</v>
      </c>
    </row>
    <row r="28" spans="1:6">
      <c r="A28" s="1">
        <v>0.8</v>
      </c>
      <c r="B28" s="1">
        <v>5</v>
      </c>
      <c r="C28" s="1">
        <v>1.04</v>
      </c>
      <c r="D28" s="1">
        <v>-2.0245</v>
      </c>
      <c r="E28" s="2">
        <f t="shared" si="0"/>
        <v>-115.995305624235</v>
      </c>
      <c r="F28" s="2">
        <v>-6.93278932108284</v>
      </c>
    </row>
    <row r="29" spans="1:6">
      <c r="A29" s="1">
        <v>0.8</v>
      </c>
      <c r="B29" s="1">
        <v>5</v>
      </c>
      <c r="C29" s="1">
        <v>1.05</v>
      </c>
      <c r="D29" s="1">
        <v>-2.0257</v>
      </c>
      <c r="E29" s="2">
        <f t="shared" si="0"/>
        <v>-116.064060559651</v>
      </c>
      <c r="F29" s="2">
        <v>-6.93278932108284</v>
      </c>
    </row>
    <row r="30" spans="1:6">
      <c r="A30" s="1">
        <v>0.8</v>
      </c>
      <c r="B30" s="1">
        <v>5</v>
      </c>
      <c r="C30" s="1">
        <v>1.06</v>
      </c>
      <c r="D30" s="1">
        <v>-2.0269</v>
      </c>
      <c r="E30" s="2">
        <f t="shared" si="0"/>
        <v>-116.132815495067</v>
      </c>
      <c r="F30" s="2">
        <v>-6.93278932108284</v>
      </c>
    </row>
    <row r="31" spans="1:6">
      <c r="A31" s="1">
        <v>0.8</v>
      </c>
      <c r="B31" s="1">
        <v>5</v>
      </c>
      <c r="C31" s="1">
        <v>1.07</v>
      </c>
      <c r="D31" s="1">
        <v>-2.0281</v>
      </c>
      <c r="E31" s="2">
        <f t="shared" si="0"/>
        <v>-116.201570430482</v>
      </c>
      <c r="F31" s="2">
        <v>-6.93278932108284</v>
      </c>
    </row>
    <row r="32" spans="1:6">
      <c r="A32" s="1">
        <v>0.8</v>
      </c>
      <c r="B32" s="1">
        <v>5</v>
      </c>
      <c r="C32" s="1">
        <v>1.08</v>
      </c>
      <c r="D32" s="1">
        <v>-2.0293</v>
      </c>
      <c r="E32" s="2">
        <f t="shared" si="0"/>
        <v>-116.270325365898</v>
      </c>
      <c r="F32" s="2">
        <v>-6.93278932108284</v>
      </c>
    </row>
    <row r="33" spans="1:6">
      <c r="A33" s="1">
        <v>0.8</v>
      </c>
      <c r="B33" s="1">
        <v>5</v>
      </c>
      <c r="C33" s="1">
        <v>1.09</v>
      </c>
      <c r="D33" s="1">
        <v>-2.0305</v>
      </c>
      <c r="E33" s="2">
        <f t="shared" si="0"/>
        <v>-116.339080301314</v>
      </c>
      <c r="F33" s="2">
        <v>-6.93278932108284</v>
      </c>
    </row>
    <row r="34" spans="1:6">
      <c r="A34" s="1">
        <v>0.8</v>
      </c>
      <c r="B34" s="1">
        <v>5</v>
      </c>
      <c r="C34" s="1">
        <v>1.1</v>
      </c>
      <c r="D34" s="1">
        <v>-2.0318</v>
      </c>
      <c r="E34" s="2">
        <f t="shared" si="0"/>
        <v>-116.413564814681</v>
      </c>
      <c r="F34" s="2">
        <v>-6.93278932108284</v>
      </c>
    </row>
    <row r="35" spans="1:6">
      <c r="A35" s="1">
        <v>0.9</v>
      </c>
      <c r="B35" s="1">
        <v>5</v>
      </c>
      <c r="C35" s="1">
        <v>1</v>
      </c>
      <c r="D35" s="1">
        <v>-2.0248</v>
      </c>
      <c r="E35" s="2">
        <f t="shared" si="0"/>
        <v>-116.012494358089</v>
      </c>
      <c r="F35" s="2">
        <f>(E35-E45)/(C35-C45)</f>
        <v>-6.53171886449143</v>
      </c>
    </row>
    <row r="36" spans="1:6">
      <c r="A36" s="1">
        <v>0.9</v>
      </c>
      <c r="B36" s="1">
        <v>5</v>
      </c>
      <c r="C36" s="1">
        <v>1.01</v>
      </c>
      <c r="D36" s="1">
        <v>-2.026</v>
      </c>
      <c r="E36" s="2">
        <f t="shared" si="0"/>
        <v>-116.081249293505</v>
      </c>
      <c r="F36" s="2">
        <v>-6.53171886449143</v>
      </c>
    </row>
    <row r="37" spans="1:6">
      <c r="A37" s="1">
        <v>0.9</v>
      </c>
      <c r="B37" s="1">
        <v>5</v>
      </c>
      <c r="C37" s="1">
        <v>1.02</v>
      </c>
      <c r="D37" s="1">
        <v>-2.0271</v>
      </c>
      <c r="E37" s="2">
        <f t="shared" si="0"/>
        <v>-116.144274650969</v>
      </c>
      <c r="F37" s="2">
        <v>-6.53171886449143</v>
      </c>
    </row>
    <row r="38" spans="1:6">
      <c r="A38" s="1">
        <v>0.9</v>
      </c>
      <c r="B38" s="1">
        <v>5</v>
      </c>
      <c r="C38" s="1">
        <v>1.03</v>
      </c>
      <c r="D38" s="1">
        <v>-2.0282</v>
      </c>
      <c r="E38" s="2">
        <f t="shared" si="0"/>
        <v>-116.207300008434</v>
      </c>
      <c r="F38" s="2">
        <v>-6.53171886449143</v>
      </c>
    </row>
    <row r="39" spans="1:6">
      <c r="A39" s="1">
        <v>0.9</v>
      </c>
      <c r="B39" s="1">
        <v>5</v>
      </c>
      <c r="C39" s="1">
        <v>1.04</v>
      </c>
      <c r="D39" s="1">
        <v>-2.0294</v>
      </c>
      <c r="E39" s="2">
        <f t="shared" si="0"/>
        <v>-116.276054943849</v>
      </c>
      <c r="F39" s="2">
        <v>-6.53171886449143</v>
      </c>
    </row>
    <row r="40" spans="1:6">
      <c r="A40" s="1">
        <v>0.9</v>
      </c>
      <c r="B40" s="1">
        <v>5</v>
      </c>
      <c r="C40" s="1">
        <v>1.05</v>
      </c>
      <c r="D40" s="1">
        <v>-2.0305</v>
      </c>
      <c r="E40" s="2">
        <f t="shared" si="0"/>
        <v>-116.339080301314</v>
      </c>
      <c r="F40" s="2">
        <v>-6.53171886449143</v>
      </c>
    </row>
    <row r="41" spans="1:6">
      <c r="A41" s="1">
        <v>0.9</v>
      </c>
      <c r="B41" s="1">
        <v>5</v>
      </c>
      <c r="C41" s="1">
        <v>1.06</v>
      </c>
      <c r="D41" s="1">
        <v>-2.0317</v>
      </c>
      <c r="E41" s="2">
        <f t="shared" si="0"/>
        <v>-116.407835236729</v>
      </c>
      <c r="F41" s="2">
        <v>-6.53171886449143</v>
      </c>
    </row>
    <row r="42" spans="1:6">
      <c r="A42" s="1">
        <v>0.9</v>
      </c>
      <c r="B42" s="1">
        <v>5</v>
      </c>
      <c r="C42" s="1">
        <v>1.07</v>
      </c>
      <c r="D42" s="1">
        <v>-2.0328</v>
      </c>
      <c r="E42" s="2">
        <f t="shared" si="0"/>
        <v>-116.470860594194</v>
      </c>
      <c r="F42" s="2">
        <v>-6.53171886449143</v>
      </c>
    </row>
    <row r="43" spans="1:6">
      <c r="A43" s="1">
        <v>0.9</v>
      </c>
      <c r="B43" s="1">
        <v>5</v>
      </c>
      <c r="C43" s="1">
        <v>1.08</v>
      </c>
      <c r="D43" s="1">
        <v>-2.0339</v>
      </c>
      <c r="E43" s="2">
        <f t="shared" si="0"/>
        <v>-116.533885951658</v>
      </c>
      <c r="F43" s="2">
        <v>-6.53171886449143</v>
      </c>
    </row>
    <row r="44" spans="1:6">
      <c r="A44" s="1">
        <v>0.9</v>
      </c>
      <c r="B44" s="1">
        <v>5</v>
      </c>
      <c r="C44" s="1">
        <v>1.09</v>
      </c>
      <c r="D44" s="1">
        <v>-2.0351</v>
      </c>
      <c r="E44" s="2">
        <f t="shared" si="0"/>
        <v>-116.602640887074</v>
      </c>
      <c r="F44" s="2">
        <v>-6.53171886449143</v>
      </c>
    </row>
    <row r="45" spans="1:6">
      <c r="A45" s="1">
        <v>0.9</v>
      </c>
      <c r="B45" s="1">
        <v>5</v>
      </c>
      <c r="C45" s="1">
        <v>1.1</v>
      </c>
      <c r="D45" s="1">
        <v>-2.0362</v>
      </c>
      <c r="E45" s="2">
        <f t="shared" si="0"/>
        <v>-116.665666244538</v>
      </c>
      <c r="F45" s="2">
        <v>-6.53171886449143</v>
      </c>
    </row>
  </sheetData>
  <pageMargins left="0.75" right="0.75" top="1" bottom="1" header="0.5" footer="0.5"/>
  <headerFooter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</dc:creator>
  <cp:lastModifiedBy>Rodrigo</cp:lastModifiedBy>
  <dcterms:created xsi:type="dcterms:W3CDTF">2025-03-10T15:14:46Z</dcterms:created>
  <dcterms:modified xsi:type="dcterms:W3CDTF">2025-03-10T15:28:16Z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419B756EBCA54BF0BDC6FC910A0A9BC9_11</vt:lpwstr>
  </property>
  <property fmtid="{D5CDD505-2E9C-101B-9397-08002B2CF9AE}" pid="3" name="KSOProductBuildVer">
    <vt:lpwstr>1033-12.2.0.20323</vt:lpwstr>
  </property>
</Properties>
</file>