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20" tabRatio="726" activeTab="1"/>
  </bookViews>
  <sheets>
    <sheet name="H2O Calculations" sheetId="1" r:id="rId1"/>
    <sheet name="Calculo de Dk H2O" sheetId="4" r:id="rId2"/>
    <sheet name="Calculo de Fase H2O" sheetId="3" r:id="rId3"/>
    <sheet name="Acetone Calculations" sheetId="7" r:id="rId4"/>
    <sheet name="Calculo de Dk Acetona" sheetId="8" r:id="rId5"/>
    <sheet name="Calculo de Fase Acetona" sheetId="9" r:id="rId6"/>
    <sheet name="Sheet2" sheetId="2" r:id="rId7"/>
    <sheet name="Sheet3" sheetId="5" r:id="rId8"/>
  </sheets>
  <definedNames>
    <definedName name="_xlnm._FilterDatabase" localSheetId="0" hidden="1">'H2O Calculations'!$A$8:$A$36</definedName>
    <definedName name="_xlnm._FilterDatabase" localSheetId="3" hidden="1">'Acetone Calculations'!$A$8:$A$36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<sst xmlns="http://schemas.openxmlformats.org/spreadsheetml/2006/main" count="349" uniqueCount="159">
  <si>
    <t>Power Law Formulations</t>
  </si>
  <si>
    <t>Unified Mixing Rule</t>
  </si>
  <si>
    <t>Virial Based Mixing Rule</t>
  </si>
  <si>
    <t>Silberstein Formula Linear Law</t>
  </si>
  <si>
    <t>Birchak Formula Square Root Law</t>
  </si>
  <si>
    <t>Looyenga Formula Cubic Root Law</t>
  </si>
  <si>
    <t>Generalized Power Law</t>
  </si>
  <si>
    <t>Maxwell Garnett Rule</t>
  </si>
  <si>
    <t>Polder-van Santen Formula</t>
  </si>
  <si>
    <t>Coherent Potential Approximation</t>
  </si>
  <si>
    <t>Generalized Unified Mixing Rule</t>
  </si>
  <si>
    <t xml:space="preserve"> (β=1)</t>
  </si>
  <si>
    <t xml:space="preserve"> (β=1/2)</t>
  </si>
  <si>
    <t xml:space="preserve"> (β=1/3)</t>
  </si>
  <si>
    <t>(ν=0)</t>
  </si>
  <si>
    <t>(ν=2)</t>
  </si>
  <si>
    <t>(ν=3)</t>
  </si>
  <si>
    <t xml:space="preserve"> </t>
  </si>
  <si>
    <t>RH [%]</t>
  </si>
  <si>
    <t>rmol [ppm]</t>
  </si>
  <si>
    <t>XH2O [mol/mol]</t>
  </si>
  <si>
    <t>XAir [mol/mol]</t>
  </si>
  <si>
    <t>εr [1]</t>
  </si>
  <si>
    <t>εr [2]</t>
  </si>
  <si>
    <t>εr [3]</t>
  </si>
  <si>
    <t>εr [4]</t>
  </si>
  <si>
    <t>Column1</t>
  </si>
  <si>
    <t>a</t>
  </si>
  <si>
    <t>b</t>
  </si>
  <si>
    <t>c</t>
  </si>
  <si>
    <t>x</t>
  </si>
  <si>
    <t>εr [5]</t>
  </si>
  <si>
    <t>BMIX</t>
  </si>
  <si>
    <t>ρMIX</t>
  </si>
  <si>
    <t>Πmix</t>
  </si>
  <si>
    <t>εr [6]</t>
  </si>
  <si>
    <t>Environment Constants</t>
  </si>
  <si>
    <r>
      <rPr>
        <sz val="14"/>
        <rFont val="Arial"/>
        <charset val="134"/>
      </rPr>
      <t>A</t>
    </r>
    <r>
      <rPr>
        <vertAlign val="subscript"/>
        <sz val="14"/>
        <rFont val="Arial"/>
        <charset val="134"/>
      </rPr>
      <t>W</t>
    </r>
  </si>
  <si>
    <t>Ambient Pressure (P) [Pa]</t>
  </si>
  <si>
    <r>
      <rPr>
        <sz val="14"/>
        <rFont val="Arial"/>
        <charset val="134"/>
      </rPr>
      <t>B</t>
    </r>
    <r>
      <rPr>
        <vertAlign val="subscript"/>
        <sz val="14"/>
        <rFont val="Arial"/>
        <charset val="134"/>
      </rPr>
      <t>W</t>
    </r>
  </si>
  <si>
    <t>Ambient Pressure (P) [atm]</t>
  </si>
  <si>
    <t>Πw</t>
  </si>
  <si>
    <t>Temperature (T) [°C]</t>
  </si>
  <si>
    <t>Temperature (T) [K]</t>
  </si>
  <si>
    <t>Water Vapor Pressure [atm]</t>
  </si>
  <si>
    <t>Water Permittivity [NA]</t>
  </si>
  <si>
    <t>Water Molar Polarizability [cm³/mol]</t>
  </si>
  <si>
    <r>
      <rPr>
        <sz val="14"/>
        <rFont val="Arial"/>
        <charset val="134"/>
      </rPr>
      <t>B</t>
    </r>
    <r>
      <rPr>
        <vertAlign val="subscript"/>
        <sz val="14"/>
        <rFont val="Arial"/>
        <charset val="134"/>
      </rPr>
      <t>AA</t>
    </r>
  </si>
  <si>
    <t>N2 Molecular Polarizability [Ǻ³]</t>
  </si>
  <si>
    <r>
      <rPr>
        <sz val="14"/>
        <rFont val="Arial"/>
        <charset val="134"/>
      </rPr>
      <t>B</t>
    </r>
    <r>
      <rPr>
        <vertAlign val="subscript"/>
        <sz val="14"/>
        <rFont val="Arial"/>
        <charset val="134"/>
      </rPr>
      <t>WW</t>
    </r>
  </si>
  <si>
    <t>O2 Molecular Polarizability [Ǻ³]</t>
  </si>
  <si>
    <r>
      <rPr>
        <sz val="14"/>
        <rFont val="Arial"/>
        <charset val="134"/>
      </rPr>
      <t>B</t>
    </r>
    <r>
      <rPr>
        <vertAlign val="subscript"/>
        <sz val="14"/>
        <rFont val="Arial"/>
        <charset val="134"/>
      </rPr>
      <t>AW</t>
    </r>
  </si>
  <si>
    <t>Ar Molecular Polarizability [Ǻ³]</t>
  </si>
  <si>
    <t>N2 Fraction [%]</t>
  </si>
  <si>
    <t>O2 Fraction [%]</t>
  </si>
  <si>
    <t>Ar Fraction [%]</t>
  </si>
  <si>
    <t>1.855e-29</t>
  </si>
  <si>
    <t>Average Air Molecular Polarizability [Ǻ³]</t>
  </si>
  <si>
    <t>Air Molar Polarizability [cm³/mol]</t>
  </si>
  <si>
    <t>Air Permittivity</t>
  </si>
  <si>
    <r>
      <rPr>
        <sz val="10"/>
        <rFont val="Arial"/>
        <charset val="134"/>
      </rPr>
      <t>Vacuum Permittivity (ε</t>
    </r>
    <r>
      <rPr>
        <vertAlign val="subscript"/>
        <sz val="10"/>
        <rFont val="Arial"/>
        <charset val="134"/>
      </rPr>
      <t>0</t>
    </r>
    <r>
      <rPr>
        <sz val="10"/>
        <rFont val="Arial"/>
        <charset val="134"/>
      </rPr>
      <t xml:space="preserve">) [F/m] </t>
    </r>
  </si>
  <si>
    <t>Universal Gas Constant (R) [m3.Pa/mol.K]</t>
  </si>
  <si>
    <t>Avogadro Constant (NA) [1/mol]</t>
  </si>
  <si>
    <t>Boltzman Constant (kB) [J/K]</t>
  </si>
  <si>
    <t xml:space="preserve">Sci-Hub | The Dielectric Constant of Water Vapor in the Microwave Region. Journal of Applied Physics, 23(2), 220–223 | 10.1063/1.1702178 </t>
  </si>
  <si>
    <t xml:space="preserve">Sci-Hub | Automatic digital microwave hygrometer. Review of Scientific Instruments, 46(7), 867 | 10.1063/1.1134331 </t>
  </si>
  <si>
    <t xml:space="preserve">*Thermodynamic Properties of Moist Air Containing 1000 to 5000 PPMv of Water Vapor </t>
  </si>
  <si>
    <t>MATLAB</t>
  </si>
  <si>
    <t>Wheller Conformal Narrow</t>
  </si>
  <si>
    <t>Wheller Conformal Wide</t>
  </si>
  <si>
    <t>Energy</t>
  </si>
  <si>
    <t>Sierra</t>
  </si>
  <si>
    <t>W/h&gt;1</t>
  </si>
  <si>
    <t>W/h&lt;1</t>
  </si>
  <si>
    <t>Svacina [1992]</t>
  </si>
  <si>
    <t>W/h&gt;2</t>
  </si>
  <si>
    <t>W/h&lt;2</t>
  </si>
  <si>
    <t>ΕMUT</t>
  </si>
  <si>
    <t>εEFF</t>
  </si>
  <si>
    <t>εEFF2</t>
  </si>
  <si>
    <t>εEFF3</t>
  </si>
  <si>
    <t>εEFF4</t>
  </si>
  <si>
    <t>εEFF5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</si>
  <si>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</si>
  <si>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</si>
  <si>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</si>
  <si>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</si>
  <si>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</si>
  <si>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</si>
  <si>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</si>
  <si>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</si>
  <si>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test</t>
  </si>
  <si>
    <t>W_eff</t>
  </si>
  <si>
    <t>H_1</t>
  </si>
  <si>
    <t>v_e</t>
  </si>
  <si>
    <t>V_e</t>
  </si>
  <si>
    <t>q_1</t>
  </si>
  <si>
    <t>q_2</t>
  </si>
  <si>
    <t>W</t>
  </si>
  <si>
    <t>h</t>
  </si>
  <si>
    <t>e_sub</t>
  </si>
  <si>
    <t>MUT Thickness (t_2)</t>
  </si>
  <si>
    <t>Total Height (h_2)</t>
  </si>
  <si>
    <t>length</t>
  </si>
  <si>
    <t>θ</t>
  </si>
  <si>
    <t>Δθ</t>
  </si>
  <si>
    <t>θ2</t>
  </si>
  <si>
    <t>Δθ2</t>
  </si>
  <si>
    <t>θ3</t>
  </si>
  <si>
    <t>Δθ3</t>
  </si>
  <si>
    <t>θ4</t>
  </si>
  <si>
    <t>Δθ4</t>
  </si>
  <si>
    <t>θ5</t>
  </si>
  <si>
    <t>Δθ5</t>
  </si>
  <si>
    <t>θ6</t>
  </si>
  <si>
    <t>Δθ6</t>
  </si>
  <si>
    <t>Freq</t>
  </si>
  <si>
    <t>ms</t>
  </si>
  <si>
    <t>Vin</t>
  </si>
  <si>
    <r>
      <rPr>
        <sz val="10"/>
        <rFont val="Calibri"/>
        <charset val="134"/>
      </rPr>
      <t>Δ</t>
    </r>
    <r>
      <rPr>
        <sz val="10"/>
        <rFont val="Arial"/>
        <charset val="134"/>
      </rPr>
      <t>θ</t>
    </r>
  </si>
  <si>
    <r>
      <rPr>
        <sz val="10"/>
        <rFont val="Calibri"/>
        <charset val="134"/>
      </rPr>
      <t>Δ</t>
    </r>
    <r>
      <rPr>
        <sz val="10"/>
        <rFont val="Arial"/>
        <charset val="134"/>
      </rPr>
      <t>θ</t>
    </r>
    <r>
      <rPr>
        <sz val="10"/>
        <rFont val="Calibri"/>
        <charset val="134"/>
      </rPr>
      <t>mod</t>
    </r>
  </si>
  <si>
    <t>Vcomb</t>
  </si>
  <si>
    <t>Acetone Vapor Pressure [atm]</t>
  </si>
  <si>
    <t>A</t>
  </si>
  <si>
    <t>B</t>
  </si>
  <si>
    <t>C</t>
  </si>
  <si>
    <t>Acetone Molar Polarizability [cm³/mol]</t>
  </si>
  <si>
    <t>H2O</t>
  </si>
  <si>
    <t xml:space="preserve">Temperature </t>
  </si>
  <si>
    <t>Vapor Pressure</t>
  </si>
  <si>
    <t>Water Permittivity</t>
  </si>
  <si>
    <t>N2 Polarizability</t>
  </si>
  <si>
    <t>O2 Polarizability</t>
  </si>
  <si>
    <t>Ar Polarizability</t>
  </si>
  <si>
    <t>[°C]</t>
  </si>
  <si>
    <t>[K]</t>
  </si>
  <si>
    <t>[kPa]</t>
  </si>
  <si>
    <t>[atm]</t>
  </si>
  <si>
    <t>[NA]</t>
  </si>
  <si>
    <t>ACETONE</t>
  </si>
  <si>
    <t>Acetone Permittivity</t>
  </si>
  <si>
    <t>10.9734/PSIJ/2016/27742</t>
  </si>
  <si>
    <t>Microstrip Parameters</t>
  </si>
  <si>
    <t>Wheeler</t>
  </si>
  <si>
    <t>H</t>
  </si>
  <si>
    <t>H_MUT</t>
  </si>
  <si>
    <t>T</t>
  </si>
  <si>
    <t>H2</t>
  </si>
  <si>
    <t>E_0</t>
  </si>
  <si>
    <t>E_MUT</t>
  </si>
  <si>
    <t>C_a</t>
  </si>
  <si>
    <t>U_0</t>
  </si>
  <si>
    <t>f</t>
  </si>
  <si>
    <t>S-H Formula [Eq. 3.166]</t>
  </si>
  <si>
    <t>Eq. 3.195 - Pozar 4th</t>
  </si>
  <si>
    <t>E_sub</t>
  </si>
  <si>
    <t>F(E_r, H)</t>
  </si>
  <si>
    <t>E_eff</t>
  </si>
  <si>
    <t>Z_c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</si>
</sst>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000_);[Red]\(0.000000\)"/>
    <numFmt numFmtId="177" formatCode="0.000000E+00"/>
    <numFmt numFmtId="178" formatCode="0.0000000000_ "/>
    <numFmt numFmtId="179" formatCode="0.00000000_);[Red]\(0.00000000\)"/>
    <numFmt numFmtId="180" formatCode="0.0#&quot; %&quot;"/>
    <numFmt numFmtId="181" formatCode="0.000000"/>
    <numFmt numFmtId="182" formatCode="0.000000000_);[Red]\(0.000000000\)"/>
    <numFmt numFmtId="183" formatCode="0.000_ "/>
    <numFmt numFmtId="184" formatCode="0.000000_ "/>
    <numFmt numFmtId="185" formatCode="0.00_);[Red]\(0.00\)"/>
    <numFmt numFmtId="186" formatCode="0.0000E+00"/>
    <numFmt numFmtId="187" formatCode="&quot;(β=&quot;0.00\)"/>
    <numFmt numFmtId="188" formatCode="&quot;(ν=&quot;0.00\)"/>
    <numFmt numFmtId="189" formatCode="&quot;ρ0 = &quot;0.000000"/>
    <numFmt numFmtId="190" formatCode="0.000_);[Red]\(0.000\)"/>
    <numFmt numFmtId="191" formatCode="#,##0.00000"/>
  </numFmts>
  <fonts count="35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sz val="10"/>
      <name val="Times New Roman"/>
      <charset val="134"/>
    </font>
    <font>
      <i/>
      <sz val="12"/>
      <color rgb="FF202122"/>
      <name val="Arial"/>
      <charset val="134"/>
    </font>
    <font>
      <sz val="10"/>
      <name val="Calibri"/>
      <charset val="134"/>
    </font>
    <font>
      <sz val="22"/>
      <name val="Arial"/>
      <charset val="134"/>
    </font>
    <font>
      <b/>
      <sz val="16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10"/>
      <name val="Arial"/>
      <charset val="134"/>
    </font>
    <font>
      <sz val="14"/>
      <name val="Arial"/>
      <charset val="134"/>
    </font>
    <font>
      <b/>
      <sz val="14"/>
      <name val="Arial"/>
      <charset val="134"/>
    </font>
    <font>
      <sz val="10"/>
      <color rgb="FF0000FF"/>
      <name val="Times New Roman"/>
      <charset val="134"/>
    </font>
    <font>
      <sz val="10"/>
      <color rgb="FF800080"/>
      <name val="Times New Roman"/>
      <charset val="134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vertAlign val="subscript"/>
      <sz val="10"/>
      <name val="Arial"/>
      <charset val="134"/>
    </font>
    <font>
      <vertAlign val="subscript"/>
      <sz val="14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rgb="FFFFFF99"/>
      </patternFill>
    </fill>
    <fill>
      <patternFill patternType="solid">
        <fgColor rgb="FFB7B3CA"/>
        <bgColor rgb="FFCC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44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42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83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1" fillId="0" borderId="0" xfId="6" applyNumberFormat="1" applyAlignment="1"/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center" vertical="center"/>
    </xf>
    <xf numFmtId="176" fontId="0" fillId="2" borderId="0" xfId="0" applyNumberFormat="1" applyFill="1"/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78" fontId="0" fillId="0" borderId="0" xfId="0" applyNumberFormat="1"/>
    <xf numFmtId="0" fontId="0" fillId="0" borderId="0" xfId="0" applyAlignment="1">
      <alignment horizontal="center"/>
    </xf>
    <xf numFmtId="179" fontId="0" fillId="0" borderId="0" xfId="0" applyNumberFormat="1"/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179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179" fontId="0" fillId="0" borderId="0" xfId="0" applyNumberFormat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176" fontId="0" fillId="3" borderId="0" xfId="0" applyNumberFormat="1" applyFill="1"/>
    <xf numFmtId="177" fontId="0" fillId="3" borderId="0" xfId="0" applyNumberFormat="1" applyFill="1" applyAlignment="1">
      <alignment horizontal="center" vertical="center"/>
    </xf>
    <xf numFmtId="0" fontId="3" fillId="0" borderId="0" xfId="0" applyFont="1"/>
    <xf numFmtId="176" fontId="0" fillId="0" borderId="0" xfId="0" applyNumberFormat="1" applyAlignment="1">
      <alignment horizontal="center"/>
    </xf>
    <xf numFmtId="180" fontId="0" fillId="0" borderId="0" xfId="0" applyNumberFormat="1"/>
    <xf numFmtId="181" fontId="0" fillId="0" borderId="0" xfId="0" applyNumberFormat="1"/>
    <xf numFmtId="11" fontId="0" fillId="0" borderId="0" xfId="0" applyNumberFormat="1"/>
    <xf numFmtId="176" fontId="0" fillId="0" borderId="0" xfId="0" applyNumberFormat="1" applyAlignment="1"/>
    <xf numFmtId="176" fontId="4" fillId="0" borderId="0" xfId="0" applyNumberFormat="1" applyFont="1"/>
    <xf numFmtId="182" fontId="0" fillId="0" borderId="0" xfId="0" applyNumberFormat="1"/>
    <xf numFmtId="182" fontId="0" fillId="2" borderId="0" xfId="0" applyNumberFormat="1" applyFill="1"/>
    <xf numFmtId="181" fontId="0" fillId="2" borderId="0" xfId="0" applyNumberFormat="1" applyFill="1"/>
    <xf numFmtId="0" fontId="0" fillId="0" borderId="0" xfId="0" applyAlignment="1">
      <alignment wrapText="1"/>
    </xf>
    <xf numFmtId="181" fontId="0" fillId="0" borderId="0" xfId="0" applyNumberFormat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/>
    <xf numFmtId="176" fontId="0" fillId="4" borderId="0" xfId="0" applyNumberFormat="1" applyFill="1"/>
    <xf numFmtId="181" fontId="6" fillId="4" borderId="0" xfId="0" applyNumberFormat="1" applyFont="1" applyFill="1" applyAlignment="1">
      <alignment horizontal="center" vertical="center"/>
    </xf>
    <xf numFmtId="181" fontId="6" fillId="0" borderId="0" xfId="0" applyNumberFormat="1" applyFont="1" applyBorder="1" applyAlignment="1">
      <alignment horizontal="center" vertical="center" wrapText="1"/>
    </xf>
    <xf numFmtId="181" fontId="7" fillId="0" borderId="0" xfId="0" applyNumberFormat="1" applyFont="1" applyAlignment="1">
      <alignment horizontal="center" vertical="center" wrapText="1"/>
    </xf>
    <xf numFmtId="0" fontId="8" fillId="4" borderId="0" xfId="0" applyFont="1" applyFill="1" applyAlignment="1">
      <alignment wrapText="1"/>
    </xf>
    <xf numFmtId="181" fontId="9" fillId="0" borderId="0" xfId="0" applyNumberFormat="1" applyFont="1" applyAlignment="1">
      <alignment horizontal="center" vertical="center" wrapText="1"/>
    </xf>
    <xf numFmtId="0" fontId="0" fillId="4" borderId="0" xfId="0" applyFont="1" applyFill="1" applyAlignment="1">
      <alignment wrapText="1"/>
    </xf>
    <xf numFmtId="0" fontId="5" fillId="4" borderId="0" xfId="0" applyFont="1" applyFill="1" applyBorder="1" applyAlignment="1">
      <alignment horizontal="center"/>
    </xf>
    <xf numFmtId="181" fontId="0" fillId="4" borderId="0" xfId="0" applyNumberForma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76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81" fontId="10" fillId="0" borderId="0" xfId="0" applyNumberFormat="1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right" vertical="center"/>
    </xf>
    <xf numFmtId="0" fontId="0" fillId="0" borderId="1" xfId="0" applyBorder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77" fontId="0" fillId="0" borderId="0" xfId="0" applyNumberFormat="1" applyFont="1" applyBorder="1" applyAlignment="1">
      <alignment horizontal="right" vertical="center"/>
    </xf>
    <xf numFmtId="176" fontId="0" fillId="0" borderId="0" xfId="0" applyNumberFormat="1" applyFont="1" applyBorder="1" applyAlignment="1">
      <alignment horizontal="right"/>
    </xf>
    <xf numFmtId="186" fontId="0" fillId="0" borderId="0" xfId="0" applyNumberFormat="1"/>
    <xf numFmtId="181" fontId="7" fillId="4" borderId="0" xfId="0" applyNumberFormat="1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181" fontId="9" fillId="4" borderId="0" xfId="0" applyNumberFormat="1" applyFont="1" applyFill="1" applyAlignment="1">
      <alignment horizontal="center" vertical="center" wrapText="1"/>
    </xf>
    <xf numFmtId="187" fontId="9" fillId="0" borderId="0" xfId="0" applyNumberFormat="1" applyFont="1" applyAlignment="1">
      <alignment horizontal="center" vertical="center" wrapText="1"/>
    </xf>
    <xf numFmtId="187" fontId="9" fillId="4" borderId="0" xfId="0" applyNumberFormat="1" applyFont="1" applyFill="1" applyAlignment="1">
      <alignment horizontal="center" vertical="center" wrapText="1"/>
    </xf>
    <xf numFmtId="181" fontId="0" fillId="0" borderId="0" xfId="0" applyNumberFormat="1" applyFont="1" applyAlignment="1">
      <alignment horizontal="center"/>
    </xf>
    <xf numFmtId="181" fontId="7" fillId="0" borderId="0" xfId="0" applyNumberFormat="1" applyFont="1" applyBorder="1" applyAlignment="1">
      <alignment horizontal="center" vertical="center" wrapText="1"/>
    </xf>
    <xf numFmtId="11" fontId="0" fillId="4" borderId="0" xfId="0" applyNumberFormat="1" applyFill="1"/>
    <xf numFmtId="0" fontId="0" fillId="0" borderId="0" xfId="0" applyFont="1" applyBorder="1" applyAlignment="1">
      <alignment horizontal="center"/>
    </xf>
    <xf numFmtId="188" fontId="9" fillId="0" borderId="0" xfId="0" applyNumberFormat="1" applyFont="1" applyAlignment="1">
      <alignment horizontal="center" vertical="center" wrapText="1"/>
    </xf>
    <xf numFmtId="189" fontId="0" fillId="0" borderId="0" xfId="0" applyNumberFormat="1"/>
    <xf numFmtId="186" fontId="10" fillId="0" borderId="0" xfId="0" applyNumberFormat="1" applyFont="1" applyAlignment="1">
      <alignment horizontal="center" vertical="center"/>
    </xf>
    <xf numFmtId="186" fontId="0" fillId="0" borderId="0" xfId="0" applyNumberFormat="1" applyAlignment="1">
      <alignment horizontal="center"/>
    </xf>
    <xf numFmtId="186" fontId="10" fillId="0" borderId="0" xfId="0" applyNumberFormat="1" applyFont="1" applyAlignment="1">
      <alignment horizontal="left" vertical="center"/>
    </xf>
    <xf numFmtId="190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191" fontId="0" fillId="0" borderId="0" xfId="0" applyNumberFormat="1"/>
    <xf numFmtId="186" fontId="0" fillId="0" borderId="0" xfId="0" applyNumberFormat="1" applyAlignment="1">
      <alignment vertical="center"/>
    </xf>
    <xf numFmtId="186" fontId="11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vertical="center"/>
    </xf>
    <xf numFmtId="0" fontId="0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8">
    <dxf>
      <numFmt numFmtId="176" formatCode="0.000000_);[Red]\(0.000000\)"/>
    </dxf>
    <dxf>
      <numFmt numFmtId="180" formatCode="0.0#&quot; %&quot;"/>
    </dxf>
    <dxf>
      <numFmt numFmtId="182" formatCode="0.000000000_);[Red]\(0.000000000\)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0000_);[Red]\(0.000000000\)"/>
    </dxf>
    <dxf>
      <numFmt numFmtId="180" formatCode="0.0#&quot; %&quot;"/>
    </dxf>
    <dxf>
      <numFmt numFmtId="181" formatCode="0.000000"/>
    </dxf>
    <dxf>
      <numFmt numFmtId="181" formatCode="0.000000"/>
    </dxf>
    <dxf>
      <numFmt numFmtId="176" formatCode="0.000000_);[Red]\(0.000000\)"/>
    </dxf>
    <dxf>
      <numFmt numFmtId="176" formatCode="0.000000_);[Red]\(0.000000\)"/>
    </dxf>
    <dxf>
      <numFmt numFmtId="176" formatCode="0.000000_);[Red]\(0.000000\)"/>
    </dxf>
    <dxf>
      <numFmt numFmtId="176" formatCode="0.000000_);[Red]\(0.000000\)"/>
    </dxf>
    <dxf>
      <numFmt numFmtId="176" formatCode="0.000000_);[Red]\(0.000000\)"/>
    </dxf>
    <dxf>
      <numFmt numFmtId="176" formatCode="0.000000_);[Red]\(0.000000\)"/>
    </dxf>
    <dxf>
      <numFmt numFmtId="176" formatCode="0.000000_);[Red]\(0.000000\)"/>
    </dxf>
    <dxf>
      <numFmt numFmtId="176" formatCode="0.000000_);[Red]\(0.000000\)"/>
    </dxf>
    <dxf>
      <numFmt numFmtId="176" formatCode="0.000000_);[Red]\(0.000000\)"/>
    </dxf>
    <dxf>
      <numFmt numFmtId="176" formatCode="0.000000_);[Red]\(0.000000\)"/>
    </dxf>
    <dxf>
      <numFmt numFmtId="176" formatCode="0.000000_);[Red]\(0.000000\)"/>
    </dxf>
    <dxf>
      <numFmt numFmtId="176" formatCode="0.000000_);[Red]\(0.000000\)"/>
    </dxf>
    <dxf>
      <numFmt numFmtId="182" formatCode="0.000000000_);[Red]\(0.000000000\)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Dark" pivot="0" count="7" xr9:uid="{A23A6A0A-29F2-439B-92E2-2009244044D1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TableStylePreset3_Accent1" pivot="0" count="7" xr9:uid="{59DB682C-5494-4EDE-A608-00C9E5F0F923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267968C8-6FFD-4C36-ACC1-9EA1FD1885CA}">
      <tableStyleElement type="headerRow" dxfId="47"/>
      <tableStyleElement type="totalRow" dxfId="46"/>
      <tableStyleElement type="firstRowStripe" dxfId="45"/>
      <tableStyleElement type="firstColumnStripe" dxfId="44"/>
      <tableStyleElement type="firstSubtotalRow" dxfId="43"/>
      <tableStyleElement type="secondSubtotalRow" dxfId="42"/>
      <tableStyleElement type="firstRowSubheading" dxfId="41"/>
      <tableStyleElement type="secondRowSubheading" dxfId="40"/>
      <tableStyleElement type="pageFieldLabels" dxfId="39"/>
      <tableStyleElement type="pageFieldValues" dxfId="3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3CA"/>
      <rgbColor rgb="00808080"/>
      <rgbColor rgb="009999FF"/>
      <rgbColor rgb="00993366"/>
      <rgbColor rgb="00FFF1C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'Calculo de Fase H2O'!$I$54</c:f>
              <c:strCache>
                <c:ptCount val="1"/>
                <c:pt idx="0">
                  <c:v>Vcomb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'Calculo de Fase H2O'!$H$55:$H$83</c:f>
              <c:numCache>
                <c:formatCode>0.000000_);[Red]\(0.000000\)</c:formatCode>
                <c:ptCount val="29"/>
                <c:pt idx="0">
                  <c:v>141.371632051368</c:v>
                </c:pt>
                <c:pt idx="1">
                  <c:v>141.3986379984</c:v>
                </c:pt>
                <c:pt idx="2">
                  <c:v>141.425645461271</c:v>
                </c:pt>
                <c:pt idx="3">
                  <c:v>141.452654440109</c:v>
                </c:pt>
                <c:pt idx="4">
                  <c:v>141.47966493504</c:v>
                </c:pt>
                <c:pt idx="5">
                  <c:v>141.506676946191</c:v>
                </c:pt>
                <c:pt idx="6">
                  <c:v>141.533690473694</c:v>
                </c:pt>
                <c:pt idx="7">
                  <c:v>141.560705517675</c:v>
                </c:pt>
                <c:pt idx="8">
                  <c:v>141.587722078263</c:v>
                </c:pt>
                <c:pt idx="9">
                  <c:v>141.614740155589</c:v>
                </c:pt>
                <c:pt idx="10">
                  <c:v>141.641759749776</c:v>
                </c:pt>
                <c:pt idx="11">
                  <c:v>141.912039147433</c:v>
                </c:pt>
                <c:pt idx="12">
                  <c:v>142.182470372837</c:v>
                </c:pt>
                <c:pt idx="13">
                  <c:v>142.453053554629</c:v>
                </c:pt>
                <c:pt idx="14">
                  <c:v>142.72378882161</c:v>
                </c:pt>
                <c:pt idx="15">
                  <c:v>142.994676302711</c:v>
                </c:pt>
                <c:pt idx="16">
                  <c:v>143.265716127015</c:v>
                </c:pt>
                <c:pt idx="17">
                  <c:v>143.536908423759</c:v>
                </c:pt>
                <c:pt idx="18">
                  <c:v>143.808253322315</c:v>
                </c:pt>
                <c:pt idx="19">
                  <c:v>144.07975095221</c:v>
                </c:pt>
                <c:pt idx="20">
                  <c:v>146.803156075988</c:v>
                </c:pt>
                <c:pt idx="21">
                  <c:v>149.541977911843</c:v>
                </c:pt>
                <c:pt idx="22">
                  <c:v>152.296348445683</c:v>
                </c:pt>
                <c:pt idx="23">
                  <c:v>155.066401181809</c:v>
                </c:pt>
                <c:pt idx="24">
                  <c:v>157.852271164909</c:v>
                </c:pt>
                <c:pt idx="25">
                  <c:v>160.654095002432</c:v>
                </c:pt>
                <c:pt idx="26">
                  <c:v>163.47201088737</c:v>
                </c:pt>
                <c:pt idx="27">
                  <c:v>166.306158621439</c:v>
                </c:pt>
                <c:pt idx="28">
                  <c:v>169.156679638647</c:v>
                </c:pt>
              </c:numCache>
            </c:numRef>
          </c:xVal>
          <c:yVal>
            <c:numRef>
              <c:f>'Calculo de Fase H2O'!$I$55:$I$83</c:f>
              <c:numCache>
                <c:formatCode>0.000000_);[Red]\(0.000000\)</c:formatCode>
                <c:ptCount val="29"/>
                <c:pt idx="0">
                  <c:v>0.33074802716517</c:v>
                </c:pt>
                <c:pt idx="1">
                  <c:v>0.33052561043067</c:v>
                </c:pt>
                <c:pt idx="2">
                  <c:v>0.3303031628527</c:v>
                </c:pt>
                <c:pt idx="3">
                  <c:v>0.330080684439463</c:v>
                </c:pt>
                <c:pt idx="4">
                  <c:v>0.329858175199193</c:v>
                </c:pt>
                <c:pt idx="5">
                  <c:v>0.329635635140127</c:v>
                </c:pt>
                <c:pt idx="6">
                  <c:v>0.32941306427045</c:v>
                </c:pt>
                <c:pt idx="7">
                  <c:v>0.329190462598412</c:v>
                </c:pt>
                <c:pt idx="8">
                  <c:v>0.328967830132239</c:v>
                </c:pt>
                <c:pt idx="9">
                  <c:v>0.328745166880146</c:v>
                </c:pt>
                <c:pt idx="10">
                  <c:v>0.32852247285042</c:v>
                </c:pt>
                <c:pt idx="11">
                  <c:v>0.326293841598024</c:v>
                </c:pt>
                <c:pt idx="12">
                  <c:v>0.324062141678426</c:v>
                </c:pt>
                <c:pt idx="13">
                  <c:v>0.321827381407671</c:v>
                </c:pt>
                <c:pt idx="14">
                  <c:v>0.319589569147337</c:v>
                </c:pt>
                <c:pt idx="15">
                  <c:v>0.317348713304868</c:v>
                </c:pt>
                <c:pt idx="16">
                  <c:v>0.315104822333532</c:v>
                </c:pt>
                <c:pt idx="17">
                  <c:v>0.312857904732466</c:v>
                </c:pt>
                <c:pt idx="18">
                  <c:v>0.310607969046923</c:v>
                </c:pt>
                <c:pt idx="19">
                  <c:v>0.308355023868226</c:v>
                </c:pt>
                <c:pt idx="20">
                  <c:v>0.285661973215836</c:v>
                </c:pt>
                <c:pt idx="21">
                  <c:v>0.262677769762207</c:v>
                </c:pt>
                <c:pt idx="22">
                  <c:v>0.239411780403778</c:v>
                </c:pt>
                <c:pt idx="23">
                  <c:v>0.215873853514356</c:v>
                </c:pt>
                <c:pt idx="24">
                  <c:v>0.192074327934297</c:v>
                </c:pt>
                <c:pt idx="25">
                  <c:v>0.168024041791906</c:v>
                </c:pt>
                <c:pt idx="26">
                  <c:v>0.143734341133548</c:v>
                </c:pt>
                <c:pt idx="27">
                  <c:v>0.119217088338465</c:v>
                </c:pt>
                <c:pt idx="28">
                  <c:v>0.0944846702927484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'Calculo de Fase H2O'!$L$54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'Calculo de Fase H2O'!$K$55:$K$236</c:f>
              <c:numCache>
                <c:formatCode>0.000000_);[Red]\(0.000000\)</c:formatCode>
                <c:ptCount val="182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</c:numCache>
            </c:numRef>
          </c:xVal>
          <c:yVal>
            <c:numRef>
              <c:f>'Calculo de Fase H2O'!$L$55:$L$236</c:f>
              <c:numCache>
                <c:formatCode>0.000000_);[Red]\(0.000000\)</c:formatCode>
                <c:ptCount val="182"/>
                <c:pt idx="0">
                  <c:v>0.707106781186548</c:v>
                </c:pt>
                <c:pt idx="1">
                  <c:v>0.700909264299851</c:v>
                </c:pt>
                <c:pt idx="2">
                  <c:v>0.694658370458997</c:v>
                </c:pt>
                <c:pt idx="3">
                  <c:v>0.688354575693754</c:v>
                </c:pt>
                <c:pt idx="4">
                  <c:v>0.681998360062498</c:v>
                </c:pt>
                <c:pt idx="5">
                  <c:v>0.67559020761566</c:v>
                </c:pt>
                <c:pt idx="6">
                  <c:v>0.669130606358858</c:v>
                </c:pt>
                <c:pt idx="7">
                  <c:v>0.662620048215738</c:v>
                </c:pt>
                <c:pt idx="8">
                  <c:v>0.656059028990507</c:v>
                </c:pt>
                <c:pt idx="9">
                  <c:v>0.649448048330184</c:v>
                </c:pt>
                <c:pt idx="10">
                  <c:v>0.642787609686539</c:v>
                </c:pt>
                <c:pt idx="11">
                  <c:v>0.636078220277764</c:v>
                </c:pt>
                <c:pt idx="12">
                  <c:v>0.629320391049838</c:v>
                </c:pt>
                <c:pt idx="13">
                  <c:v>0.62251463663762</c:v>
                </c:pt>
                <c:pt idx="14">
                  <c:v>0.615661475325658</c:v>
                </c:pt>
                <c:pt idx="15">
                  <c:v>0.608761429008721</c:v>
                </c:pt>
                <c:pt idx="16">
                  <c:v>0.601815023152048</c:v>
                </c:pt>
                <c:pt idx="17">
                  <c:v>0.594822786751341</c:v>
                </c:pt>
                <c:pt idx="18">
                  <c:v>0.587785252292473</c:v>
                </c:pt>
                <c:pt idx="19">
                  <c:v>0.58070295571094</c:v>
                </c:pt>
                <c:pt idx="20">
                  <c:v>0.573576436351046</c:v>
                </c:pt>
                <c:pt idx="21">
                  <c:v>0.566406236924833</c:v>
                </c:pt>
                <c:pt idx="22">
                  <c:v>0.559192903470747</c:v>
                </c:pt>
                <c:pt idx="23">
                  <c:v>0.551936985312058</c:v>
                </c:pt>
                <c:pt idx="24">
                  <c:v>0.544639035015027</c:v>
                </c:pt>
                <c:pt idx="25">
                  <c:v>0.537299608346824</c:v>
                </c:pt>
                <c:pt idx="26">
                  <c:v>0.529919264233205</c:v>
                </c:pt>
                <c:pt idx="27">
                  <c:v>0.522498564715949</c:v>
                </c:pt>
                <c:pt idx="28">
                  <c:v>0.515038074910054</c:v>
                </c:pt>
                <c:pt idx="29">
                  <c:v>0.507538362960704</c:v>
                </c:pt>
                <c:pt idx="30">
                  <c:v>0.5</c:v>
                </c:pt>
                <c:pt idx="31">
                  <c:v>0.492423560103467</c:v>
                </c:pt>
                <c:pt idx="32">
                  <c:v>0.484809620246337</c:v>
                </c:pt>
                <c:pt idx="33">
                  <c:v>0.477158760259608</c:v>
                </c:pt>
                <c:pt idx="34">
                  <c:v>0.469471562785891</c:v>
                </c:pt>
                <c:pt idx="35">
                  <c:v>0.461748613235034</c:v>
                </c:pt>
                <c:pt idx="36">
                  <c:v>0.453990499739547</c:v>
                </c:pt>
                <c:pt idx="37">
                  <c:v>0.446197813109809</c:v>
                </c:pt>
                <c:pt idx="38">
                  <c:v>0.438371146789077</c:v>
                </c:pt>
                <c:pt idx="39">
                  <c:v>0.430511096808295</c:v>
                </c:pt>
                <c:pt idx="40">
                  <c:v>0.422618261740699</c:v>
                </c:pt>
                <c:pt idx="41">
                  <c:v>0.414693242656239</c:v>
                </c:pt>
                <c:pt idx="42">
                  <c:v>0.4067366430758</c:v>
                </c:pt>
                <c:pt idx="43">
                  <c:v>0.398749068925246</c:v>
                </c:pt>
                <c:pt idx="44">
                  <c:v>0.390731128489274</c:v>
                </c:pt>
                <c:pt idx="45">
                  <c:v>0.38268343236509</c:v>
                </c:pt>
                <c:pt idx="46">
                  <c:v>0.374606593415912</c:v>
                </c:pt>
                <c:pt idx="47">
                  <c:v>0.366501226724297</c:v>
                </c:pt>
                <c:pt idx="48">
                  <c:v>0.3583679495453</c:v>
                </c:pt>
                <c:pt idx="49">
                  <c:v>0.350207381259467</c:v>
                </c:pt>
                <c:pt idx="50">
                  <c:v>0.342020143325669</c:v>
                </c:pt>
                <c:pt idx="51">
                  <c:v>0.333806859233771</c:v>
                </c:pt>
                <c:pt idx="52">
                  <c:v>0.325568154457157</c:v>
                </c:pt>
                <c:pt idx="53">
                  <c:v>0.317304656405092</c:v>
                </c:pt>
                <c:pt idx="54">
                  <c:v>0.309016994374947</c:v>
                </c:pt>
                <c:pt idx="55">
                  <c:v>0.300705799504273</c:v>
                </c:pt>
                <c:pt idx="56">
                  <c:v>0.292371704722737</c:v>
                </c:pt>
                <c:pt idx="57">
                  <c:v>0.284015344703923</c:v>
                </c:pt>
                <c:pt idx="58">
                  <c:v>0.275637355816999</c:v>
                </c:pt>
                <c:pt idx="59">
                  <c:v>0.267238376078257</c:v>
                </c:pt>
                <c:pt idx="60">
                  <c:v>0.258819045102521</c:v>
                </c:pt>
                <c:pt idx="61">
                  <c:v>0.250380004054441</c:v>
                </c:pt>
                <c:pt idx="62">
                  <c:v>0.241921895599668</c:v>
                </c:pt>
                <c:pt idx="63">
                  <c:v>0.233445363855905</c:v>
                </c:pt>
                <c:pt idx="64">
                  <c:v>0.224951054343865</c:v>
                </c:pt>
                <c:pt idx="65">
                  <c:v>0.216439613938103</c:v>
                </c:pt>
                <c:pt idx="66">
                  <c:v>0.207911690817759</c:v>
                </c:pt>
                <c:pt idx="67">
                  <c:v>0.199367934417197</c:v>
                </c:pt>
                <c:pt idx="68">
                  <c:v>0.190808995376545</c:v>
                </c:pt>
                <c:pt idx="69">
                  <c:v>0.182235525492147</c:v>
                </c:pt>
                <c:pt idx="70">
                  <c:v>0.17364817766693</c:v>
                </c:pt>
                <c:pt idx="71">
                  <c:v>0.165047605860678</c:v>
                </c:pt>
                <c:pt idx="72">
                  <c:v>0.156434465040231</c:v>
                </c:pt>
                <c:pt idx="73">
                  <c:v>0.147809411129611</c:v>
                </c:pt>
                <c:pt idx="74">
                  <c:v>0.139173100960066</c:v>
                </c:pt>
                <c:pt idx="75">
                  <c:v>0.130526192220052</c:v>
                </c:pt>
                <c:pt idx="76">
                  <c:v>0.121869343405147</c:v>
                </c:pt>
                <c:pt idx="77">
                  <c:v>0.113203213767907</c:v>
                </c:pt>
                <c:pt idx="78">
                  <c:v>0.104528463267653</c:v>
                </c:pt>
                <c:pt idx="79">
                  <c:v>0.0958457525202241</c:v>
                </c:pt>
                <c:pt idx="80">
                  <c:v>0.0871557427476581</c:v>
                </c:pt>
                <c:pt idx="81">
                  <c:v>0.078459095727845</c:v>
                </c:pt>
                <c:pt idx="82">
                  <c:v>0.0697564737441255</c:v>
                </c:pt>
                <c:pt idx="83">
                  <c:v>0.0610485395348569</c:v>
                </c:pt>
                <c:pt idx="84">
                  <c:v>0.052335956242944</c:v>
                </c:pt>
                <c:pt idx="85">
                  <c:v>0.0436193873653362</c:v>
                </c:pt>
                <c:pt idx="86">
                  <c:v>0.0348994967025011</c:v>
                </c:pt>
                <c:pt idx="87">
                  <c:v>0.0261769483078731</c:v>
                </c:pt>
                <c:pt idx="88">
                  <c:v>0.0174524064372834</c:v>
                </c:pt>
                <c:pt idx="89">
                  <c:v>0.0087265354983739</c:v>
                </c:pt>
                <c:pt idx="90">
                  <c:v>6.12323399573677e-17</c:v>
                </c:pt>
                <c:pt idx="91">
                  <c:v>0.00872653549837378</c:v>
                </c:pt>
                <c:pt idx="92">
                  <c:v>0.0174524064372835</c:v>
                </c:pt>
                <c:pt idx="93">
                  <c:v>0.026176948307873</c:v>
                </c:pt>
                <c:pt idx="94">
                  <c:v>0.0348994967025007</c:v>
                </c:pt>
                <c:pt idx="95">
                  <c:v>0.0436193873653359</c:v>
                </c:pt>
                <c:pt idx="96">
                  <c:v>0.0523359562429436</c:v>
                </c:pt>
                <c:pt idx="97">
                  <c:v>0.061048539534857</c:v>
                </c:pt>
                <c:pt idx="98">
                  <c:v>0.0697564737441253</c:v>
                </c:pt>
                <c:pt idx="99">
                  <c:v>0.0784590957278449</c:v>
                </c:pt>
                <c:pt idx="100">
                  <c:v>0.0871557427476582</c:v>
                </c:pt>
                <c:pt idx="101">
                  <c:v>0.095845752520224</c:v>
                </c:pt>
                <c:pt idx="102">
                  <c:v>0.104528463267653</c:v>
                </c:pt>
                <c:pt idx="103">
                  <c:v>0.113203213767907</c:v>
                </c:pt>
                <c:pt idx="104">
                  <c:v>0.121869343405147</c:v>
                </c:pt>
                <c:pt idx="105">
                  <c:v>0.130526192220051</c:v>
                </c:pt>
                <c:pt idx="106">
                  <c:v>0.139173100960065</c:v>
                </c:pt>
                <c:pt idx="107">
                  <c:v>0.14780941112961</c:v>
                </c:pt>
                <c:pt idx="108">
                  <c:v>0.156434465040231</c:v>
                </c:pt>
                <c:pt idx="109">
                  <c:v>0.165047605860678</c:v>
                </c:pt>
                <c:pt idx="110">
                  <c:v>0.17364817766693</c:v>
                </c:pt>
                <c:pt idx="111">
                  <c:v>0.182235525492148</c:v>
                </c:pt>
                <c:pt idx="112">
                  <c:v>0.190808995376545</c:v>
                </c:pt>
                <c:pt idx="113">
                  <c:v>0.199367934417197</c:v>
                </c:pt>
                <c:pt idx="114">
                  <c:v>0.207911690817759</c:v>
                </c:pt>
                <c:pt idx="115">
                  <c:v>0.216439613938103</c:v>
                </c:pt>
                <c:pt idx="116">
                  <c:v>0.224951054343865</c:v>
                </c:pt>
                <c:pt idx="117">
                  <c:v>0.233445363855905</c:v>
                </c:pt>
                <c:pt idx="118">
                  <c:v>0.241921895599668</c:v>
                </c:pt>
                <c:pt idx="119">
                  <c:v>0.250380004054441</c:v>
                </c:pt>
                <c:pt idx="120">
                  <c:v>0.258819045102521</c:v>
                </c:pt>
                <c:pt idx="121">
                  <c:v>0.267238376078257</c:v>
                </c:pt>
                <c:pt idx="122">
                  <c:v>0.275637355816999</c:v>
                </c:pt>
                <c:pt idx="123">
                  <c:v>0.284015344703923</c:v>
                </c:pt>
                <c:pt idx="124">
                  <c:v>0.292371704722737</c:v>
                </c:pt>
                <c:pt idx="125">
                  <c:v>0.300705799504273</c:v>
                </c:pt>
                <c:pt idx="126">
                  <c:v>0.309016994374947</c:v>
                </c:pt>
                <c:pt idx="127">
                  <c:v>0.317304656405092</c:v>
                </c:pt>
                <c:pt idx="128">
                  <c:v>0.325568154457156</c:v>
                </c:pt>
                <c:pt idx="129">
                  <c:v>0.333806859233771</c:v>
                </c:pt>
                <c:pt idx="130">
                  <c:v>0.342020143325669</c:v>
                </c:pt>
                <c:pt idx="131">
                  <c:v>0.350207381259468</c:v>
                </c:pt>
                <c:pt idx="132">
                  <c:v>0.3583679495453</c:v>
                </c:pt>
                <c:pt idx="133">
                  <c:v>0.366501226724297</c:v>
                </c:pt>
                <c:pt idx="134">
                  <c:v>0.374606593415912</c:v>
                </c:pt>
                <c:pt idx="135">
                  <c:v>0.38268343236509</c:v>
                </c:pt>
                <c:pt idx="136">
                  <c:v>0.390731128489274</c:v>
                </c:pt>
                <c:pt idx="137">
                  <c:v>0.398749068925246</c:v>
                </c:pt>
                <c:pt idx="138">
                  <c:v>0.4067366430758</c:v>
                </c:pt>
                <c:pt idx="139">
                  <c:v>0.414693242656239</c:v>
                </c:pt>
                <c:pt idx="140">
                  <c:v>0.422618261740699</c:v>
                </c:pt>
                <c:pt idx="141">
                  <c:v>0.430511096808295</c:v>
                </c:pt>
                <c:pt idx="142">
                  <c:v>0.438371146789078</c:v>
                </c:pt>
                <c:pt idx="143">
                  <c:v>0.446197813109809</c:v>
                </c:pt>
                <c:pt idx="144">
                  <c:v>0.453990499739547</c:v>
                </c:pt>
                <c:pt idx="145">
                  <c:v>0.461748613235034</c:v>
                </c:pt>
                <c:pt idx="146">
                  <c:v>0.469471562785891</c:v>
                </c:pt>
                <c:pt idx="147">
                  <c:v>0.477158760259608</c:v>
                </c:pt>
                <c:pt idx="148">
                  <c:v>0.484809620246337</c:v>
                </c:pt>
                <c:pt idx="149">
                  <c:v>0.492423560103467</c:v>
                </c:pt>
                <c:pt idx="150">
                  <c:v>0.5</c:v>
                </c:pt>
                <c:pt idx="151">
                  <c:v>0.507538362960704</c:v>
                </c:pt>
                <c:pt idx="152">
                  <c:v>0.515038074910054</c:v>
                </c:pt>
                <c:pt idx="153">
                  <c:v>0.522498564715949</c:v>
                </c:pt>
                <c:pt idx="154">
                  <c:v>0.529919264233205</c:v>
                </c:pt>
                <c:pt idx="155">
                  <c:v>0.537299608346824</c:v>
                </c:pt>
                <c:pt idx="156">
                  <c:v>0.544639035015027</c:v>
                </c:pt>
                <c:pt idx="157">
                  <c:v>0.551936985312058</c:v>
                </c:pt>
                <c:pt idx="158">
                  <c:v>0.559192903470747</c:v>
                </c:pt>
                <c:pt idx="159">
                  <c:v>0.566406236924833</c:v>
                </c:pt>
                <c:pt idx="160">
                  <c:v>0.573576436351046</c:v>
                </c:pt>
                <c:pt idx="161">
                  <c:v>0.58070295571094</c:v>
                </c:pt>
                <c:pt idx="162">
                  <c:v>0.587785252292473</c:v>
                </c:pt>
                <c:pt idx="163">
                  <c:v>0.594822786751341</c:v>
                </c:pt>
                <c:pt idx="164">
                  <c:v>0.601815023152048</c:v>
                </c:pt>
                <c:pt idx="165">
                  <c:v>0.608761429008721</c:v>
                </c:pt>
                <c:pt idx="166">
                  <c:v>0.615661475325658</c:v>
                </c:pt>
                <c:pt idx="167">
                  <c:v>0.622514636637619</c:v>
                </c:pt>
                <c:pt idx="168">
                  <c:v>0.629320391049837</c:v>
                </c:pt>
                <c:pt idx="169">
                  <c:v>0.636078220277764</c:v>
                </c:pt>
                <c:pt idx="170">
                  <c:v>0.642787609686539</c:v>
                </c:pt>
                <c:pt idx="171">
                  <c:v>0.649448048330184</c:v>
                </c:pt>
                <c:pt idx="172">
                  <c:v>0.656059028990507</c:v>
                </c:pt>
                <c:pt idx="173">
                  <c:v>0.662620048215738</c:v>
                </c:pt>
                <c:pt idx="174">
                  <c:v>0.669130606358858</c:v>
                </c:pt>
                <c:pt idx="175">
                  <c:v>0.67559020761566</c:v>
                </c:pt>
                <c:pt idx="176">
                  <c:v>0.681998360062498</c:v>
                </c:pt>
                <c:pt idx="177">
                  <c:v>0.688354575693754</c:v>
                </c:pt>
                <c:pt idx="178">
                  <c:v>0.694658370458997</c:v>
                </c:pt>
                <c:pt idx="179">
                  <c:v>0.700909264299851</c:v>
                </c:pt>
                <c:pt idx="180">
                  <c:v>0.707106781186547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288336"/>
        <c:axId val="325083291"/>
      </c:scatterChart>
      <c:valAx>
        <c:axId val="545288336"/>
        <c:scaling>
          <c:orientation val="minMax"/>
          <c:max val="270"/>
          <c:min val="9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083291"/>
        <c:crosses val="autoZero"/>
        <c:crossBetween val="midCat"/>
        <c:majorUnit val="15"/>
        <c:minorUnit val="1.5"/>
      </c:valAx>
      <c:valAx>
        <c:axId val="3250832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000_);[Red]\(0.00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2883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71f099-cb8a-492d-bf69-12e6c20360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'Calculo de Fase Acetona'!$I$54</c:f>
              <c:strCache>
                <c:ptCount val="1"/>
                <c:pt idx="0">
                  <c:v>Vcomb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'Calculo de Fase Acetona'!$H$55:$H$83</c:f>
              <c:numCache>
                <c:formatCode>0.000000_);[Red]\(0.000000\)</c:formatCode>
                <c:ptCount val="29"/>
                <c:pt idx="0">
                  <c:v>141.371632051368</c:v>
                </c:pt>
                <c:pt idx="1">
                  <c:v>141.608229257196</c:v>
                </c:pt>
                <c:pt idx="2">
                  <c:v>141.844942835173</c:v>
                </c:pt>
                <c:pt idx="3">
                  <c:v>142.081772871623</c:v>
                </c:pt>
                <c:pt idx="4">
                  <c:v>142.31871945297</c:v>
                </c:pt>
                <c:pt idx="5">
                  <c:v>142.555782665714</c:v>
                </c:pt>
                <c:pt idx="6">
                  <c:v>142.792962596453</c:v>
                </c:pt>
                <c:pt idx="7">
                  <c:v>143.030259331859</c:v>
                </c:pt>
                <c:pt idx="8">
                  <c:v>143.267672958698</c:v>
                </c:pt>
                <c:pt idx="9">
                  <c:v>143.505203563813</c:v>
                </c:pt>
                <c:pt idx="10">
                  <c:v>143.742851234149</c:v>
                </c:pt>
                <c:pt idx="11">
                  <c:v>146.125785712418</c:v>
                </c:pt>
                <c:pt idx="12">
                  <c:v>148.52052298833</c:v>
                </c:pt>
                <c:pt idx="13">
                  <c:v>150.927151441907</c:v>
                </c:pt>
                <c:pt idx="14">
                  <c:v>153.345760342133</c:v>
                </c:pt>
                <c:pt idx="15">
                  <c:v>155.776439858208</c:v>
                </c:pt>
                <c:pt idx="16">
                  <c:v>158.21928107096</c:v>
                </c:pt>
                <c:pt idx="17">
                  <c:v>160.674375984468</c:v>
                </c:pt>
                <c:pt idx="18">
                  <c:v>163.141817537827</c:v>
                </c:pt>
                <c:pt idx="19">
                  <c:v>165.621699617125</c:v>
                </c:pt>
                <c:pt idx="20">
                  <c:v>191.12610626661</c:v>
                </c:pt>
                <c:pt idx="21">
                  <c:v>217.985364676025</c:v>
                </c:pt>
                <c:pt idx="22">
                  <c:v>246.311085324026</c:v>
                </c:pt>
                <c:pt idx="23">
                  <c:v>276.227560319333</c:v>
                </c:pt>
                <c:pt idx="24">
                  <c:v>307.873627899074</c:v>
                </c:pt>
                <c:pt idx="25">
                  <c:v>341.404877685766</c:v>
                </c:pt>
                <c:pt idx="26">
                  <c:v>16.9962720265976</c:v>
                </c:pt>
                <c:pt idx="27">
                  <c:v>54.8452784825004</c:v>
                </c:pt>
                <c:pt idx="28">
                  <c:v>95.1756343247243</c:v>
                </c:pt>
              </c:numCache>
            </c:numRef>
          </c:xVal>
          <c:yVal>
            <c:numRef>
              <c:f>'Calculo de Fase Acetona'!$I$55:$I$83</c:f>
              <c:numCache>
                <c:formatCode>0.000000_);[Red]\(0.000000\)</c:formatCode>
                <c:ptCount val="29"/>
                <c:pt idx="0">
                  <c:v>0.33074802716517</c:v>
                </c:pt>
                <c:pt idx="1">
                  <c:v>0.32879882661923</c:v>
                </c:pt>
                <c:pt idx="2">
                  <c:v>0.326847264646643</c:v>
                </c:pt>
                <c:pt idx="3">
                  <c:v>0.324893346799489</c:v>
                </c:pt>
                <c:pt idx="4">
                  <c:v>0.322937078656531</c:v>
                </c:pt>
                <c:pt idx="5">
                  <c:v>0.32097846582348</c:v>
                </c:pt>
                <c:pt idx="6">
                  <c:v>0.319017513932845</c:v>
                </c:pt>
                <c:pt idx="7">
                  <c:v>0.317054228644168</c:v>
                </c:pt>
                <c:pt idx="8">
                  <c:v>0.315088615643954</c:v>
                </c:pt>
                <c:pt idx="9">
                  <c:v>0.313120680645813</c:v>
                </c:pt>
                <c:pt idx="10">
                  <c:v>0.311150429390309</c:v>
                </c:pt>
                <c:pt idx="11">
                  <c:v>0.291321805094366</c:v>
                </c:pt>
                <c:pt idx="12">
                  <c:v>0.271268072802564</c:v>
                </c:pt>
                <c:pt idx="13">
                  <c:v>0.250995427718531</c:v>
                </c:pt>
                <c:pt idx="14">
                  <c:v>0.230510346455624</c:v>
                </c:pt>
                <c:pt idx="15">
                  <c:v>0.209819591705932</c:v>
                </c:pt>
                <c:pt idx="16">
                  <c:v>0.188930216838643</c:v>
                </c:pt>
                <c:pt idx="17">
                  <c:v>0.16784957041844</c:v>
                </c:pt>
                <c:pt idx="18">
                  <c:v>0.146585300635126</c:v>
                </c:pt>
                <c:pt idx="19">
                  <c:v>0.125145359634293</c:v>
                </c:pt>
                <c:pt idx="20">
                  <c:v>0.0969411126275673</c:v>
                </c:pt>
                <c:pt idx="21">
                  <c:v>0.325447392727132</c:v>
                </c:pt>
                <c:pt idx="22">
                  <c:v>0.54691379076373</c:v>
                </c:pt>
                <c:pt idx="23">
                  <c:v>0.744472144547738</c:v>
                </c:pt>
                <c:pt idx="24">
                  <c:v>0.898310062123633</c:v>
                </c:pt>
                <c:pt idx="25">
                  <c:v>0.986862594314897</c:v>
                </c:pt>
                <c:pt idx="26">
                  <c:v>0.989020671478531</c:v>
                </c:pt>
                <c:pt idx="27">
                  <c:v>0.887633477416277</c:v>
                </c:pt>
                <c:pt idx="28">
                  <c:v>0.674459390562911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'Calculo de Fase Acetona'!$L$54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'Calculo de Fase Acetona'!$K$55:$K$236</c:f>
              <c:numCache>
                <c:formatCode>0.000000_);[Red]\(0.000000\)</c:formatCode>
                <c:ptCount val="182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</c:numCache>
            </c:numRef>
          </c:xVal>
          <c:yVal>
            <c:numRef>
              <c:f>'Calculo de Fase Acetona'!$L$55:$L$236</c:f>
              <c:numCache>
                <c:formatCode>0.000000_);[Red]\(0.000000\)</c:formatCode>
                <c:ptCount val="182"/>
                <c:pt idx="0">
                  <c:v>0.707106781186548</c:v>
                </c:pt>
                <c:pt idx="1">
                  <c:v>0.700909264299851</c:v>
                </c:pt>
                <c:pt idx="2">
                  <c:v>0.694658370458997</c:v>
                </c:pt>
                <c:pt idx="3">
                  <c:v>0.688354575693754</c:v>
                </c:pt>
                <c:pt idx="4">
                  <c:v>0.681998360062498</c:v>
                </c:pt>
                <c:pt idx="5">
                  <c:v>0.67559020761566</c:v>
                </c:pt>
                <c:pt idx="6">
                  <c:v>0.669130606358858</c:v>
                </c:pt>
                <c:pt idx="7">
                  <c:v>0.662620048215738</c:v>
                </c:pt>
                <c:pt idx="8">
                  <c:v>0.656059028990507</c:v>
                </c:pt>
                <c:pt idx="9">
                  <c:v>0.649448048330184</c:v>
                </c:pt>
                <c:pt idx="10">
                  <c:v>0.642787609686539</c:v>
                </c:pt>
                <c:pt idx="11">
                  <c:v>0.636078220277764</c:v>
                </c:pt>
                <c:pt idx="12">
                  <c:v>0.629320391049838</c:v>
                </c:pt>
                <c:pt idx="13">
                  <c:v>0.62251463663762</c:v>
                </c:pt>
                <c:pt idx="14">
                  <c:v>0.615661475325658</c:v>
                </c:pt>
                <c:pt idx="15">
                  <c:v>0.608761429008721</c:v>
                </c:pt>
                <c:pt idx="16">
                  <c:v>0.601815023152048</c:v>
                </c:pt>
                <c:pt idx="17">
                  <c:v>0.594822786751341</c:v>
                </c:pt>
                <c:pt idx="18">
                  <c:v>0.587785252292473</c:v>
                </c:pt>
                <c:pt idx="19">
                  <c:v>0.58070295571094</c:v>
                </c:pt>
                <c:pt idx="20">
                  <c:v>0.573576436351046</c:v>
                </c:pt>
                <c:pt idx="21">
                  <c:v>0.566406236924833</c:v>
                </c:pt>
                <c:pt idx="22">
                  <c:v>0.559192903470747</c:v>
                </c:pt>
                <c:pt idx="23">
                  <c:v>0.551936985312058</c:v>
                </c:pt>
                <c:pt idx="24">
                  <c:v>0.544639035015027</c:v>
                </c:pt>
                <c:pt idx="25">
                  <c:v>0.537299608346824</c:v>
                </c:pt>
                <c:pt idx="26">
                  <c:v>0.529919264233205</c:v>
                </c:pt>
                <c:pt idx="27">
                  <c:v>0.522498564715949</c:v>
                </c:pt>
                <c:pt idx="28">
                  <c:v>0.515038074910054</c:v>
                </c:pt>
                <c:pt idx="29">
                  <c:v>0.507538362960704</c:v>
                </c:pt>
                <c:pt idx="30">
                  <c:v>0.5</c:v>
                </c:pt>
                <c:pt idx="31">
                  <c:v>0.492423560103467</c:v>
                </c:pt>
                <c:pt idx="32">
                  <c:v>0.484809620246337</c:v>
                </c:pt>
                <c:pt idx="33">
                  <c:v>0.477158760259608</c:v>
                </c:pt>
                <c:pt idx="34">
                  <c:v>0.469471562785891</c:v>
                </c:pt>
                <c:pt idx="35">
                  <c:v>0.461748613235034</c:v>
                </c:pt>
                <c:pt idx="36">
                  <c:v>0.453990499739547</c:v>
                </c:pt>
                <c:pt idx="37">
                  <c:v>0.446197813109809</c:v>
                </c:pt>
                <c:pt idx="38">
                  <c:v>0.438371146789077</c:v>
                </c:pt>
                <c:pt idx="39">
                  <c:v>0.430511096808295</c:v>
                </c:pt>
                <c:pt idx="40">
                  <c:v>0.422618261740699</c:v>
                </c:pt>
                <c:pt idx="41">
                  <c:v>0.414693242656239</c:v>
                </c:pt>
                <c:pt idx="42">
                  <c:v>0.4067366430758</c:v>
                </c:pt>
                <c:pt idx="43">
                  <c:v>0.398749068925246</c:v>
                </c:pt>
                <c:pt idx="44">
                  <c:v>0.390731128489274</c:v>
                </c:pt>
                <c:pt idx="45">
                  <c:v>0.38268343236509</c:v>
                </c:pt>
                <c:pt idx="46">
                  <c:v>0.374606593415912</c:v>
                </c:pt>
                <c:pt idx="47">
                  <c:v>0.366501226724297</c:v>
                </c:pt>
                <c:pt idx="48">
                  <c:v>0.3583679495453</c:v>
                </c:pt>
                <c:pt idx="49">
                  <c:v>0.350207381259467</c:v>
                </c:pt>
                <c:pt idx="50">
                  <c:v>0.342020143325669</c:v>
                </c:pt>
                <c:pt idx="51">
                  <c:v>0.333806859233771</c:v>
                </c:pt>
                <c:pt idx="52">
                  <c:v>0.325568154457157</c:v>
                </c:pt>
                <c:pt idx="53">
                  <c:v>0.317304656405092</c:v>
                </c:pt>
                <c:pt idx="54">
                  <c:v>0.309016994374947</c:v>
                </c:pt>
                <c:pt idx="55">
                  <c:v>0.300705799504273</c:v>
                </c:pt>
                <c:pt idx="56">
                  <c:v>0.292371704722737</c:v>
                </c:pt>
                <c:pt idx="57">
                  <c:v>0.284015344703923</c:v>
                </c:pt>
                <c:pt idx="58">
                  <c:v>0.275637355816999</c:v>
                </c:pt>
                <c:pt idx="59">
                  <c:v>0.267238376078257</c:v>
                </c:pt>
                <c:pt idx="60">
                  <c:v>0.258819045102521</c:v>
                </c:pt>
                <c:pt idx="61">
                  <c:v>0.250380004054441</c:v>
                </c:pt>
                <c:pt idx="62">
                  <c:v>0.241921895599668</c:v>
                </c:pt>
                <c:pt idx="63">
                  <c:v>0.233445363855905</c:v>
                </c:pt>
                <c:pt idx="64">
                  <c:v>0.224951054343865</c:v>
                </c:pt>
                <c:pt idx="65">
                  <c:v>0.216439613938103</c:v>
                </c:pt>
                <c:pt idx="66">
                  <c:v>0.207911690817759</c:v>
                </c:pt>
                <c:pt idx="67">
                  <c:v>0.199367934417197</c:v>
                </c:pt>
                <c:pt idx="68">
                  <c:v>0.190808995376545</c:v>
                </c:pt>
                <c:pt idx="69">
                  <c:v>0.182235525492147</c:v>
                </c:pt>
                <c:pt idx="70">
                  <c:v>0.17364817766693</c:v>
                </c:pt>
                <c:pt idx="71">
                  <c:v>0.165047605860678</c:v>
                </c:pt>
                <c:pt idx="72">
                  <c:v>0.156434465040231</c:v>
                </c:pt>
                <c:pt idx="73">
                  <c:v>0.147809411129611</c:v>
                </c:pt>
                <c:pt idx="74">
                  <c:v>0.139173100960066</c:v>
                </c:pt>
                <c:pt idx="75">
                  <c:v>0.130526192220052</c:v>
                </c:pt>
                <c:pt idx="76">
                  <c:v>0.121869343405147</c:v>
                </c:pt>
                <c:pt idx="77">
                  <c:v>0.113203213767907</c:v>
                </c:pt>
                <c:pt idx="78">
                  <c:v>0.104528463267653</c:v>
                </c:pt>
                <c:pt idx="79">
                  <c:v>0.0958457525202241</c:v>
                </c:pt>
                <c:pt idx="80">
                  <c:v>0.0871557427476581</c:v>
                </c:pt>
                <c:pt idx="81">
                  <c:v>0.078459095727845</c:v>
                </c:pt>
                <c:pt idx="82">
                  <c:v>0.0697564737441255</c:v>
                </c:pt>
                <c:pt idx="83">
                  <c:v>0.0610485395348569</c:v>
                </c:pt>
                <c:pt idx="84">
                  <c:v>0.052335956242944</c:v>
                </c:pt>
                <c:pt idx="85">
                  <c:v>0.0436193873653362</c:v>
                </c:pt>
                <c:pt idx="86">
                  <c:v>0.0348994967025011</c:v>
                </c:pt>
                <c:pt idx="87">
                  <c:v>0.0261769483078731</c:v>
                </c:pt>
                <c:pt idx="88">
                  <c:v>0.0174524064372834</c:v>
                </c:pt>
                <c:pt idx="89">
                  <c:v>0.0087265354983739</c:v>
                </c:pt>
                <c:pt idx="90">
                  <c:v>6.12323399573677e-17</c:v>
                </c:pt>
                <c:pt idx="91">
                  <c:v>0.00872653549837378</c:v>
                </c:pt>
                <c:pt idx="92">
                  <c:v>0.0174524064372835</c:v>
                </c:pt>
                <c:pt idx="93">
                  <c:v>0.026176948307873</c:v>
                </c:pt>
                <c:pt idx="94">
                  <c:v>0.0348994967025007</c:v>
                </c:pt>
                <c:pt idx="95">
                  <c:v>0.0436193873653359</c:v>
                </c:pt>
                <c:pt idx="96">
                  <c:v>0.0523359562429436</c:v>
                </c:pt>
                <c:pt idx="97">
                  <c:v>0.061048539534857</c:v>
                </c:pt>
                <c:pt idx="98">
                  <c:v>0.0697564737441253</c:v>
                </c:pt>
                <c:pt idx="99">
                  <c:v>0.0784590957278449</c:v>
                </c:pt>
                <c:pt idx="100">
                  <c:v>0.0871557427476582</c:v>
                </c:pt>
                <c:pt idx="101">
                  <c:v>0.095845752520224</c:v>
                </c:pt>
                <c:pt idx="102">
                  <c:v>0.104528463267653</c:v>
                </c:pt>
                <c:pt idx="103">
                  <c:v>0.113203213767907</c:v>
                </c:pt>
                <c:pt idx="104">
                  <c:v>0.121869343405147</c:v>
                </c:pt>
                <c:pt idx="105">
                  <c:v>0.130526192220051</c:v>
                </c:pt>
                <c:pt idx="106">
                  <c:v>0.139173100960065</c:v>
                </c:pt>
                <c:pt idx="107">
                  <c:v>0.14780941112961</c:v>
                </c:pt>
                <c:pt idx="108">
                  <c:v>0.156434465040231</c:v>
                </c:pt>
                <c:pt idx="109">
                  <c:v>0.165047605860678</c:v>
                </c:pt>
                <c:pt idx="110">
                  <c:v>0.17364817766693</c:v>
                </c:pt>
                <c:pt idx="111">
                  <c:v>0.182235525492148</c:v>
                </c:pt>
                <c:pt idx="112">
                  <c:v>0.190808995376545</c:v>
                </c:pt>
                <c:pt idx="113">
                  <c:v>0.199367934417197</c:v>
                </c:pt>
                <c:pt idx="114">
                  <c:v>0.207911690817759</c:v>
                </c:pt>
                <c:pt idx="115">
                  <c:v>0.216439613938103</c:v>
                </c:pt>
                <c:pt idx="116">
                  <c:v>0.224951054343865</c:v>
                </c:pt>
                <c:pt idx="117">
                  <c:v>0.233445363855905</c:v>
                </c:pt>
                <c:pt idx="118">
                  <c:v>0.241921895599668</c:v>
                </c:pt>
                <c:pt idx="119">
                  <c:v>0.250380004054441</c:v>
                </c:pt>
                <c:pt idx="120">
                  <c:v>0.258819045102521</c:v>
                </c:pt>
                <c:pt idx="121">
                  <c:v>0.267238376078257</c:v>
                </c:pt>
                <c:pt idx="122">
                  <c:v>0.275637355816999</c:v>
                </c:pt>
                <c:pt idx="123">
                  <c:v>0.284015344703923</c:v>
                </c:pt>
                <c:pt idx="124">
                  <c:v>0.292371704722737</c:v>
                </c:pt>
                <c:pt idx="125">
                  <c:v>0.300705799504273</c:v>
                </c:pt>
                <c:pt idx="126">
                  <c:v>0.309016994374947</c:v>
                </c:pt>
                <c:pt idx="127">
                  <c:v>0.317304656405092</c:v>
                </c:pt>
                <c:pt idx="128">
                  <c:v>0.325568154457156</c:v>
                </c:pt>
                <c:pt idx="129">
                  <c:v>0.333806859233771</c:v>
                </c:pt>
                <c:pt idx="130">
                  <c:v>0.342020143325669</c:v>
                </c:pt>
                <c:pt idx="131">
                  <c:v>0.350207381259468</c:v>
                </c:pt>
                <c:pt idx="132">
                  <c:v>0.3583679495453</c:v>
                </c:pt>
                <c:pt idx="133">
                  <c:v>0.366501226724297</c:v>
                </c:pt>
                <c:pt idx="134">
                  <c:v>0.374606593415912</c:v>
                </c:pt>
                <c:pt idx="135">
                  <c:v>0.38268343236509</c:v>
                </c:pt>
                <c:pt idx="136">
                  <c:v>0.390731128489274</c:v>
                </c:pt>
                <c:pt idx="137">
                  <c:v>0.398749068925246</c:v>
                </c:pt>
                <c:pt idx="138">
                  <c:v>0.4067366430758</c:v>
                </c:pt>
                <c:pt idx="139">
                  <c:v>0.414693242656239</c:v>
                </c:pt>
                <c:pt idx="140">
                  <c:v>0.422618261740699</c:v>
                </c:pt>
                <c:pt idx="141">
                  <c:v>0.430511096808295</c:v>
                </c:pt>
                <c:pt idx="142">
                  <c:v>0.438371146789078</c:v>
                </c:pt>
                <c:pt idx="143">
                  <c:v>0.446197813109809</c:v>
                </c:pt>
                <c:pt idx="144">
                  <c:v>0.453990499739547</c:v>
                </c:pt>
                <c:pt idx="145">
                  <c:v>0.461748613235034</c:v>
                </c:pt>
                <c:pt idx="146">
                  <c:v>0.469471562785891</c:v>
                </c:pt>
                <c:pt idx="147">
                  <c:v>0.477158760259608</c:v>
                </c:pt>
                <c:pt idx="148">
                  <c:v>0.484809620246337</c:v>
                </c:pt>
                <c:pt idx="149">
                  <c:v>0.492423560103467</c:v>
                </c:pt>
                <c:pt idx="150">
                  <c:v>0.5</c:v>
                </c:pt>
                <c:pt idx="151">
                  <c:v>0.507538362960704</c:v>
                </c:pt>
                <c:pt idx="152">
                  <c:v>0.515038074910054</c:v>
                </c:pt>
                <c:pt idx="153">
                  <c:v>0.522498564715949</c:v>
                </c:pt>
                <c:pt idx="154">
                  <c:v>0.529919264233205</c:v>
                </c:pt>
                <c:pt idx="155">
                  <c:v>0.537299608346824</c:v>
                </c:pt>
                <c:pt idx="156">
                  <c:v>0.544639035015027</c:v>
                </c:pt>
                <c:pt idx="157">
                  <c:v>0.551936985312058</c:v>
                </c:pt>
                <c:pt idx="158">
                  <c:v>0.559192903470747</c:v>
                </c:pt>
                <c:pt idx="159">
                  <c:v>0.566406236924833</c:v>
                </c:pt>
                <c:pt idx="160">
                  <c:v>0.573576436351046</c:v>
                </c:pt>
                <c:pt idx="161">
                  <c:v>0.58070295571094</c:v>
                </c:pt>
                <c:pt idx="162">
                  <c:v>0.587785252292473</c:v>
                </c:pt>
                <c:pt idx="163">
                  <c:v>0.594822786751341</c:v>
                </c:pt>
                <c:pt idx="164">
                  <c:v>0.601815023152048</c:v>
                </c:pt>
                <c:pt idx="165">
                  <c:v>0.608761429008721</c:v>
                </c:pt>
                <c:pt idx="166">
                  <c:v>0.615661475325658</c:v>
                </c:pt>
                <c:pt idx="167">
                  <c:v>0.622514636637619</c:v>
                </c:pt>
                <c:pt idx="168">
                  <c:v>0.629320391049837</c:v>
                </c:pt>
                <c:pt idx="169">
                  <c:v>0.636078220277764</c:v>
                </c:pt>
                <c:pt idx="170">
                  <c:v>0.642787609686539</c:v>
                </c:pt>
                <c:pt idx="171">
                  <c:v>0.649448048330184</c:v>
                </c:pt>
                <c:pt idx="172">
                  <c:v>0.656059028990507</c:v>
                </c:pt>
                <c:pt idx="173">
                  <c:v>0.662620048215738</c:v>
                </c:pt>
                <c:pt idx="174">
                  <c:v>0.669130606358858</c:v>
                </c:pt>
                <c:pt idx="175">
                  <c:v>0.67559020761566</c:v>
                </c:pt>
                <c:pt idx="176">
                  <c:v>0.681998360062498</c:v>
                </c:pt>
                <c:pt idx="177">
                  <c:v>0.688354575693754</c:v>
                </c:pt>
                <c:pt idx="178">
                  <c:v>0.694658370458997</c:v>
                </c:pt>
                <c:pt idx="179">
                  <c:v>0.700909264299851</c:v>
                </c:pt>
                <c:pt idx="180">
                  <c:v>0.707106781186547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288336"/>
        <c:axId val="325083291"/>
      </c:scatterChart>
      <c:valAx>
        <c:axId val="545288336"/>
        <c:scaling>
          <c:orientation val="minMax"/>
          <c:max val="270"/>
          <c:min val="9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083291"/>
        <c:crosses val="autoZero"/>
        <c:crossBetween val="midCat"/>
        <c:majorUnit val="15"/>
        <c:minorUnit val="1.5"/>
      </c:valAx>
      <c:valAx>
        <c:axId val="3250832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000_);[Red]\(0.00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2883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71f099-cb8a-492d-bf69-12e6c20360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31</xdr:col>
      <xdr:colOff>225720</xdr:colOff>
      <xdr:row>73</xdr:row>
      <xdr:rowOff>36000</xdr:rowOff>
    </xdr:from>
    <xdr:to>
      <xdr:col>31</xdr:col>
      <xdr:colOff>941760</xdr:colOff>
      <xdr:row>78</xdr:row>
      <xdr:rowOff>155520</xdr:rowOff>
    </xdr:to>
    <xdr:pic>
      <xdr:nvPicPr>
        <xdr:cNvPr id="2" name="Image 2"/>
        <xdr:cNvPicPr/>
      </xdr:nvPicPr>
      <xdr:blipFill>
        <a:blip r:embed="rId1"/>
        <a:stretch>
          <a:fillRect/>
        </a:stretch>
      </xdr:blipFill>
      <xdr:spPr>
        <a:xfrm>
          <a:off x="10839450" y="18268950"/>
          <a:ext cx="716280" cy="173863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29</xdr:col>
      <xdr:colOff>133560</xdr:colOff>
      <xdr:row>69</xdr:row>
      <xdr:rowOff>0</xdr:rowOff>
    </xdr:from>
    <xdr:to>
      <xdr:col>29</xdr:col>
      <xdr:colOff>1611360</xdr:colOff>
      <xdr:row>77</xdr:row>
      <xdr:rowOff>144000</xdr:rowOff>
    </xdr:to>
    <xdr:pic>
      <xdr:nvPicPr>
        <xdr:cNvPr id="3" name="Image 3"/>
        <xdr:cNvPicPr/>
      </xdr:nvPicPr>
      <xdr:blipFill>
        <a:blip r:embed="rId2"/>
        <a:stretch>
          <a:fillRect/>
        </a:stretch>
      </xdr:blipFill>
      <xdr:spPr>
        <a:xfrm>
          <a:off x="8843645" y="15156815"/>
          <a:ext cx="1477645" cy="46774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0</xdr:colOff>
      <xdr:row>69</xdr:row>
      <xdr:rowOff>0</xdr:rowOff>
    </xdr:from>
    <xdr:to>
      <xdr:col>37</xdr:col>
      <xdr:colOff>453960</xdr:colOff>
      <xdr:row>99</xdr:row>
      <xdr:rowOff>64080</xdr:rowOff>
    </xdr:to>
    <xdr:pic>
      <xdr:nvPicPr>
        <xdr:cNvPr id="4" name="Image 1"/>
        <xdr:cNvPicPr/>
      </xdr:nvPicPr>
      <xdr:blipFill>
        <a:blip r:embed="rId3"/>
        <a:stretch>
          <a:fillRect/>
        </a:stretch>
      </xdr:blipFill>
      <xdr:spPr>
        <a:xfrm>
          <a:off x="10614025" y="15156815"/>
          <a:ext cx="7186930" cy="817308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581025</xdr:colOff>
      <xdr:row>49</xdr:row>
      <xdr:rowOff>9525</xdr:rowOff>
    </xdr:from>
    <xdr:to>
      <xdr:col>14</xdr:col>
      <xdr:colOff>466725</xdr:colOff>
      <xdr:row>51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10775" y="7943850"/>
          <a:ext cx="1714500" cy="428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44450</xdr:colOff>
      <xdr:row>53</xdr:row>
      <xdr:rowOff>47625</xdr:rowOff>
    </xdr:from>
    <xdr:to>
      <xdr:col>19</xdr:col>
      <xdr:colOff>565150</xdr:colOff>
      <xdr:row>83</xdr:row>
      <xdr:rowOff>103505</xdr:rowOff>
    </xdr:to>
    <xdr:graphicFrame>
      <xdr:nvGraphicFramePr>
        <xdr:cNvPr id="5" name="Chart 4"/>
        <xdr:cNvGraphicFramePr/>
      </xdr:nvGraphicFramePr>
      <xdr:xfrm>
        <a:off x="11350625" y="8629650"/>
        <a:ext cx="5902325" cy="4913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31</xdr:col>
      <xdr:colOff>225720</xdr:colOff>
      <xdr:row>73</xdr:row>
      <xdr:rowOff>36000</xdr:rowOff>
    </xdr:from>
    <xdr:to>
      <xdr:col>31</xdr:col>
      <xdr:colOff>942000</xdr:colOff>
      <xdr:row>78</xdr:row>
      <xdr:rowOff>155380</xdr:rowOff>
    </xdr:to>
    <xdr:pic>
      <xdr:nvPicPr>
        <xdr:cNvPr id="2" name="Image 2"/>
        <xdr:cNvPicPr/>
      </xdr:nvPicPr>
      <xdr:blipFill>
        <a:blip r:embed="rId1"/>
        <a:stretch>
          <a:fillRect/>
        </a:stretch>
      </xdr:blipFill>
      <xdr:spPr>
        <a:xfrm>
          <a:off x="13647420" y="14382750"/>
          <a:ext cx="716280" cy="173863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29</xdr:col>
      <xdr:colOff>133560</xdr:colOff>
      <xdr:row>69</xdr:row>
      <xdr:rowOff>0</xdr:rowOff>
    </xdr:from>
    <xdr:to>
      <xdr:col>29</xdr:col>
      <xdr:colOff>1611205</xdr:colOff>
      <xdr:row>77</xdr:row>
      <xdr:rowOff>143510</xdr:rowOff>
    </xdr:to>
    <xdr:pic>
      <xdr:nvPicPr>
        <xdr:cNvPr id="3" name="Image 3"/>
        <xdr:cNvPicPr/>
      </xdr:nvPicPr>
      <xdr:blipFill>
        <a:blip r:embed="rId2"/>
        <a:stretch>
          <a:fillRect/>
        </a:stretch>
      </xdr:blipFill>
      <xdr:spPr>
        <a:xfrm>
          <a:off x="11651615" y="11270615"/>
          <a:ext cx="1477645" cy="46774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0</xdr:colOff>
      <xdr:row>69</xdr:row>
      <xdr:rowOff>0</xdr:rowOff>
    </xdr:from>
    <xdr:to>
      <xdr:col>37</xdr:col>
      <xdr:colOff>453390</xdr:colOff>
      <xdr:row>99</xdr:row>
      <xdr:rowOff>63500</xdr:rowOff>
    </xdr:to>
    <xdr:pic>
      <xdr:nvPicPr>
        <xdr:cNvPr id="4" name="Image 1"/>
        <xdr:cNvPicPr/>
      </xdr:nvPicPr>
      <xdr:blipFill>
        <a:blip r:embed="rId3"/>
        <a:stretch>
          <a:fillRect/>
        </a:stretch>
      </xdr:blipFill>
      <xdr:spPr>
        <a:xfrm>
          <a:off x="13421995" y="11270615"/>
          <a:ext cx="7186930" cy="817308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581025</xdr:colOff>
      <xdr:row>49</xdr:row>
      <xdr:rowOff>9525</xdr:rowOff>
    </xdr:from>
    <xdr:to>
      <xdr:col>14</xdr:col>
      <xdr:colOff>466725</xdr:colOff>
      <xdr:row>51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10775" y="4057650"/>
          <a:ext cx="1714500" cy="428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44450</xdr:colOff>
      <xdr:row>53</xdr:row>
      <xdr:rowOff>47625</xdr:rowOff>
    </xdr:from>
    <xdr:to>
      <xdr:col>19</xdr:col>
      <xdr:colOff>565150</xdr:colOff>
      <xdr:row>83</xdr:row>
      <xdr:rowOff>103505</xdr:rowOff>
    </xdr:to>
    <xdr:graphicFrame>
      <xdr:nvGraphicFramePr>
        <xdr:cNvPr id="2" name="Chart 1"/>
        <xdr:cNvGraphicFramePr/>
      </xdr:nvGraphicFramePr>
      <xdr:xfrm>
        <a:off x="11350625" y="8629650"/>
        <a:ext cx="5902325" cy="4913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1300480</xdr:colOff>
      <xdr:row>32</xdr:row>
      <xdr:rowOff>120650</xdr:rowOff>
    </xdr:from>
    <xdr:to>
      <xdr:col>16</xdr:col>
      <xdr:colOff>511810</xdr:colOff>
      <xdr:row>42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56010" y="5322570"/>
          <a:ext cx="7191375" cy="160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13</xdr:col>
      <xdr:colOff>164465</xdr:colOff>
      <xdr:row>58</xdr:row>
      <xdr:rowOff>125730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56645" y="7477760"/>
          <a:ext cx="4448175" cy="2076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542925</xdr:colOff>
      <xdr:row>24</xdr:row>
      <xdr:rowOff>114300</xdr:rowOff>
    </xdr:from>
    <xdr:to>
      <xdr:col>24</xdr:col>
      <xdr:colOff>400050</xdr:colOff>
      <xdr:row>54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87375" y="4019550"/>
          <a:ext cx="5343525" cy="485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16</xdr:row>
      <xdr:rowOff>114300</xdr:rowOff>
    </xdr:from>
    <xdr:to>
      <xdr:col>24</xdr:col>
      <xdr:colOff>390525</xdr:colOff>
      <xdr:row>24</xdr:row>
      <xdr:rowOff>104775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54050" y="2724150"/>
          <a:ext cx="5267325" cy="1285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A7:AD36" totalsRowShown="0">
  <autoFilter xmlns:etc="http://www.wps.cn/officeDocument/2017/etCustomData" ref="AA7:AD36" etc:filterBottomFollowUsedRange="0"/>
  <tableColumns count="4">
    <tableColumn id="1" name="BMIX"/>
    <tableColumn id="2" name="ρMIX"/>
    <tableColumn id="3" name="Πmix" dataDxfId="0">
      <calculatedColumnFormula>$E$56*E8+$E$47*D8</calculatedColumnFormula>
    </tableColumn>
    <tableColumn id="4" name="εr [6]">
      <calculatedColumnFormula>(2*(AB8)*AC8*0.000001+1)/(1-(AB8)*AC8*0.000001)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0" displayName="Table10" ref="Q7:Q36" totalsRowShown="0">
  <autoFilter xmlns:etc="http://www.wps.cn/officeDocument/2017/etCustomData" ref="Q7:Q36" etc:filterBottomFollowUsedRange="0"/>
  <tableColumns count="1">
    <tableColumn id="1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11" displayName="Table11" ref="S7:S36" totalsRowShown="0">
  <autoFilter xmlns:etc="http://www.wps.cn/officeDocument/2017/etCustomData" ref="S7:S36" etc:filterBottomFollowUsedRange="0"/>
  <tableColumns count="1">
    <tableColumn id="1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12" displayName="Table12" ref="AF7:AG36" totalsRowShown="0">
  <autoFilter xmlns:etc="http://www.wps.cn/officeDocument/2017/etCustomData" ref="AF7:AG36" etc:filterBottomFollowUsedRange="0"/>
  <tableColumns count="2">
    <tableColumn id="1" name="Πmix"/>
    <tableColumn id="2" name="εr [6]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2" displayName="Table2" ref="C7:E36" totalsRowShown="0">
  <autoFilter xmlns:etc="http://www.wps.cn/officeDocument/2017/etCustomData" ref="C7:E36" etc:filterBottomFollowUsedRange="0"/>
  <tableColumns count="3">
    <tableColumn id="1" name="rmol [ppm]"/>
    <tableColumn id="2" name="XH2O [mol/mol]"/>
    <tableColumn id="3" name="XAir [mol/mol]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7" name="Table4" displayName="Table4" ref="U7:Y36" totalsRowShown="0">
  <autoFilter xmlns:etc="http://www.wps.cn/officeDocument/2017/etCustomData" ref="U7:Y36" etc:filterBottomFollowUsedRange="0"/>
  <tableColumns count="5">
    <tableColumn id="1" name="a"/>
    <tableColumn id="2" name="b"/>
    <tableColumn id="3" name="c"/>
    <tableColumn id="4" name="x"/>
    <tableColumn id="5" name="εr [5]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8" name="Table5" displayName="Table5" ref="G7:G36" totalsRowShown="0">
  <autoFilter xmlns:etc="http://www.wps.cn/officeDocument/2017/etCustomData" ref="G7:G36" etc:filterBottomFollowUsedRange="0"/>
  <tableColumns count="1">
    <tableColumn id="1" name="εr [1]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9" name="Table6" displayName="Table6" ref="I7:I36" totalsRowShown="0">
  <autoFilter xmlns:etc="http://www.wps.cn/officeDocument/2017/etCustomData" ref="I7:I36" etc:filterBottomFollowUsedRange="0"/>
  <tableColumns count="1">
    <tableColumn id="1" name="εr [2]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0" name="Table7" displayName="Table7" ref="K7:K36" totalsRowShown="0">
  <autoFilter xmlns:etc="http://www.wps.cn/officeDocument/2017/etCustomData" ref="K7:K36" etc:filterBottomFollowUsedRange="0"/>
  <tableColumns count="1">
    <tableColumn id="1" name="εr [3]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1" name="Table8" displayName="Table8" ref="M7:M36" totalsRowShown="0">
  <autoFilter xmlns:etc="http://www.wps.cn/officeDocument/2017/etCustomData" ref="M7:M36" etc:filterBottomFollowUsedRange="0"/>
  <tableColumns count="1">
    <tableColumn id="1" name="εr [4]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2" name="Table9" displayName="Table9" ref="O7:O36" totalsRowShown="0">
  <autoFilter xmlns:etc="http://www.wps.cn/officeDocument/2017/etCustomData" ref="O7:O36" etc:filterBottomFollowUsedRange="0"/>
  <tableColumns count="1">
    <tableColumn id="1" name="Column1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23" name="Table23" displayName="Table23" ref="A4:P33" totalsRowShown="0">
  <autoFilter xmlns:etc="http://www.wps.cn/officeDocument/2017/etCustomData" ref="A4:P33" etc:filterBottomFollowUsedRange="0"/>
  <tableColumns count="16">
    <tableColumn id="1" name="RH [%]" dataDxfId="1">
      <calculatedColumnFormula>'H2O Calculations'!A8</calculatedColumnFormula>
    </tableColumn>
    <tableColumn id="2" name="ΕMUT" dataDxfId="2">
      <calculatedColumnFormula>'H2O Calculations'!AG8</calculatedColumnFormula>
    </tableColumn>
    <tableColumn id="3" name="εEFF" dataDxfId="3">
      <calculatedColumnFormula>($C$42^2/($C$42/$C$51))+($C$44^2/($C$44/B5))</calculatedColumnFormula>
    </tableColumn>
    <tableColumn id="4" name="εEFF2" dataDxfId="4">
      <calculatedColumnFormula>$C$51*$D$42+B5*((1-$D$42)^2)/(B5*(1-$D$42-$D$44)+$D$44)</calculatedColumnFormula>
    </tableColumn>
    <tableColumn id="5" name="εEFF3" dataDxfId="5">
      <calculatedColumnFormula>$C$51*$E$42+B5*((1-$E$42)^2)/(B5*(1-$E$42-$E$44)+$E$44)</calculatedColumnFormula>
    </tableColumn>
    <tableColumn id="6" name="εEFF4"/>
    <tableColumn id="7" name="εEFF5"/>
    <tableColumn id="8" name="Column1" dataDxfId="6">
      <calculatedColumnFormula>$C$51*$H$42+B5*(1-$H$42)^2/(B5*(1-$H$42-$H$44)+$H$44)</calculatedColumnFormula>
    </tableColumn>
    <tableColumn id="9" name="Column2">
      <calculatedColumnFormula>120*PI()*$B$51/($H$37*SQRT(H5))</calculatedColumnFormula>
    </tableColumn>
    <tableColumn id="10" name="Column3"/>
    <tableColumn id="11" name="Column4"/>
    <tableColumn id="12" name="Column5"/>
    <tableColumn id="13" name="Column6"/>
    <tableColumn id="14" name="Column7"/>
    <tableColumn id="15" name="Column8"/>
    <tableColumn id="16" name="Column9" dataDxfId="7">
      <calculatedColumnFormula>B5-1</calculatedColumnFormula>
    </tableColumn>
  </tableColumns>
  <tableStyleInfo name="TableStylePreset3_Accent1" showFirstColumn="0" showLastColumn="0" showRowStripes="1" showColumnStripes="0"/>
</table>
</file>

<file path=xl/tables/table13.xml><?xml version="1.0" encoding="utf-8"?>
<table xmlns="http://schemas.openxmlformats.org/spreadsheetml/2006/main" id="24" name="Table24" displayName="Table24" ref="A3:O32" totalsRowShown="0">
  <autoFilter xmlns:etc="http://www.wps.cn/officeDocument/2017/etCustomData" ref="A3:O32" etc:filterBottomFollowUsedRange="0"/>
  <tableColumns count="15">
    <tableColumn id="1" name="RH [%]" dataDxfId="8">
      <calculatedColumnFormula>'H2O Calculations'!A8</calculatedColumnFormula>
    </tableColumn>
    <tableColumn id="2" name="ΕMUT" dataDxfId="9">
      <calculatedColumnFormula>'Calculo de Dk H2O'!B5</calculatedColumnFormula>
    </tableColumn>
    <tableColumn id="3" name="εEFF" dataDxfId="10">
      <calculatedColumnFormula>'Calculo de Dk H2O'!D5</calculatedColumnFormula>
    </tableColumn>
    <tableColumn id="4" name="θ" dataDxfId="11">
      <calculatedColumnFormula>$D$2*360*$D$37*SQRT(C4*1)/$E$37</calculatedColumnFormula>
    </tableColumn>
    <tableColumn id="5" name="Δθ" dataDxfId="12">
      <calculatedColumnFormula>D4-$D$4</calculatedColumnFormula>
    </tableColumn>
    <tableColumn id="6" name="θ2" dataDxfId="13">
      <calculatedColumnFormula>$F$2*360*$D$37*SQRT(C4*1)/$E$37</calculatedColumnFormula>
    </tableColumn>
    <tableColumn id="7" name="Δθ2" dataDxfId="14">
      <calculatedColumnFormula>F4-$F$4</calculatedColumnFormula>
    </tableColumn>
    <tableColumn id="8" name="θ3" dataDxfId="15">
      <calculatedColumnFormula>$H$2*360*$D$37*SQRT(C4*1)/$E$37</calculatedColumnFormula>
    </tableColumn>
    <tableColumn id="9" name="Δθ3" dataDxfId="16">
      <calculatedColumnFormula>H4-$H$4</calculatedColumnFormula>
    </tableColumn>
    <tableColumn id="10" name="θ4" dataDxfId="17">
      <calculatedColumnFormula>$J$2*360*$D$37*SQRT(C4*1)/$E$37</calculatedColumnFormula>
    </tableColumn>
    <tableColumn id="11" name="Δθ4" dataDxfId="18">
      <calculatedColumnFormula>J4-$J$4</calculatedColumnFormula>
    </tableColumn>
    <tableColumn id="12" name="θ5" dataDxfId="19">
      <calculatedColumnFormula>$L$2*360*$D$37*SQRT(C4*1)/$E$37</calculatedColumnFormula>
    </tableColumn>
    <tableColumn id="13" name="Δθ5" dataDxfId="20">
      <calculatedColumnFormula>L4-$L$4</calculatedColumnFormula>
    </tableColumn>
    <tableColumn id="14" name="θ6" dataDxfId="21">
      <calculatedColumnFormula>$N$2*360*$D$37*SQRT(C4*1)/$E$37</calculatedColumnFormula>
    </tableColumn>
    <tableColumn id="15" name="Δθ6" dataDxfId="22">
      <calculatedColumnFormula>N4-$N$4</calculatedColumnFormula>
    </tableColumn>
  </tableColumns>
  <tableStyleInfo name="TableStylePreset3_Dark" showFirstColumn="0" showLastColumn="0" showRowStripes="1" showColumnStripes="0"/>
</table>
</file>

<file path=xl/tables/table14.xml><?xml version="1.0" encoding="utf-8"?>
<table xmlns="http://schemas.openxmlformats.org/spreadsheetml/2006/main" id="6" name="Table8_7" displayName="Table8_7" ref="M7:M36" totalsRowShown="0">
  <autoFilter xmlns:etc="http://www.wps.cn/officeDocument/2017/etCustomData" ref="M7:M36" etc:filterBottomFollowUsedRange="0"/>
  <tableColumns count="1">
    <tableColumn id="1" name="εr [4]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3" name="Table7_14" displayName="Table7_14" ref="K7:K36" totalsRowShown="0">
  <autoFilter xmlns:etc="http://www.wps.cn/officeDocument/2017/etCustomData" ref="K7:K36" etc:filterBottomFollowUsedRange="0"/>
  <tableColumns count="1">
    <tableColumn id="1" name="εr [3]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4" name="Table9_15" displayName="Table9_15" ref="O7:O36" totalsRowShown="0">
  <autoFilter xmlns:etc="http://www.wps.cn/officeDocument/2017/etCustomData" ref="O7:O36" etc:filterBottomFollowUsedRange="0"/>
  <tableColumns count="1">
    <tableColumn id="1" name="Column1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5" name="Table1_16" displayName="Table1_16" ref="AA7:AD36" totalsRowShown="0">
  <autoFilter xmlns:etc="http://www.wps.cn/officeDocument/2017/etCustomData" ref="AA7:AD36" etc:filterBottomFollowUsedRange="0"/>
  <tableColumns count="4">
    <tableColumn id="1" name="BMIX"/>
    <tableColumn id="2" name="ρMIX"/>
    <tableColumn id="3" name="Πmix">
      <calculatedColumnFormula>$E$56*E8+$E$47*D8</calculatedColumnFormula>
    </tableColumn>
    <tableColumn id="4" name="εr [6]">
      <calculatedColumnFormula>(2*(AB8)*AC8*0.000001+1)/(1-(AB8)*AC8*0.000001)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6" name="Table10_17" displayName="Table10_17" ref="Q7:Q36" totalsRowShown="0">
  <autoFilter xmlns:etc="http://www.wps.cn/officeDocument/2017/etCustomData" ref="Q7:Q36" etc:filterBottomFollowUsedRange="0"/>
  <tableColumns count="1">
    <tableColumn id="1" name="Column1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7" name="Table11_18" displayName="Table11_18" ref="S7:S36" totalsRowShown="0">
  <autoFilter xmlns:etc="http://www.wps.cn/officeDocument/2017/etCustomData" ref="S7:S36" etc:filterBottomFollowUsedRange="0"/>
  <tableColumns count="1">
    <tableColumn id="1" name="Column1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18" name="Table12_19" displayName="Table12_19" ref="AF7:AG36" totalsRowShown="0">
  <autoFilter xmlns:etc="http://www.wps.cn/officeDocument/2017/etCustomData" ref="AF7:AG36" etc:filterBottomFollowUsedRange="0"/>
  <tableColumns count="2">
    <tableColumn id="1" name="Πmix"/>
    <tableColumn id="2" name="εr [6]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19" name="Table2_20" displayName="Table2_20" ref="C7:E36" totalsRowShown="0">
  <autoFilter xmlns:etc="http://www.wps.cn/officeDocument/2017/etCustomData" ref="C7:E36" etc:filterBottomFollowUsedRange="0"/>
  <tableColumns count="3">
    <tableColumn id="1" name="rmol [ppm]"/>
    <tableColumn id="2" name="XH2O [mol/mol]"/>
    <tableColumn id="3" name="XAir [mol/mol]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0" name="Table4_21" displayName="Table4_21" ref="U7:Y36" totalsRowShown="0">
  <autoFilter xmlns:etc="http://www.wps.cn/officeDocument/2017/etCustomData" ref="U7:Y36" etc:filterBottomFollowUsedRange="0"/>
  <tableColumns count="5">
    <tableColumn id="1" name="a"/>
    <tableColumn id="2" name="b"/>
    <tableColumn id="3" name="c"/>
    <tableColumn id="4" name="x"/>
    <tableColumn id="5" name="εr [5]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1" name="Table5_22" displayName="Table5_22" ref="G7:G36" totalsRowShown="0">
  <autoFilter xmlns:etc="http://www.wps.cn/officeDocument/2017/etCustomData" ref="G7:G36" etc:filterBottomFollowUsedRange="0"/>
  <tableColumns count="1">
    <tableColumn id="1" name="εr [1]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2" name="Table6_23" displayName="Table6_23" ref="I7:I36" totalsRowShown="0">
  <autoFilter xmlns:etc="http://www.wps.cn/officeDocument/2017/etCustomData" ref="I7:I36" etc:filterBottomFollowUsedRange="0"/>
  <tableColumns count="1">
    <tableColumn id="1" name="εr [2]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able23_26" displayName="Table23_26" ref="A4:P33" totalsRowShown="0">
  <autoFilter xmlns:etc="http://www.wps.cn/officeDocument/2017/etCustomData" ref="A4:P33" etc:filterBottomFollowUsedRange="0">
    <filterColumn colId="0">
      <filters>
        <filter val="0,0 %"/>
        <filter val="0,1 %"/>
        <filter val="1,0 %"/>
        <filter val="10,0 %"/>
        <filter val="100,0 %"/>
      </filters>
    </filterColumn>
  </autoFilter>
  <tableColumns count="16">
    <tableColumn id="1" name="RH [%]">
      <calculatedColumnFormula>'H2O Calculations'!A8</calculatedColumnFormula>
    </tableColumn>
    <tableColumn id="2" name="ΕMUT" dataDxfId="23">
      <calculatedColumnFormula>'Acetone Calculations'!AG8</calculatedColumnFormula>
    </tableColumn>
    <tableColumn id="3" name="εEFF">
      <calculatedColumnFormula>($C$42^2/($C$42/$C$51))+($C$44^2/($C$44/B5))</calculatedColumnFormula>
    </tableColumn>
    <tableColumn id="4" name="εEFF2">
      <calculatedColumnFormula>$C$51*$D$42+B5*((1-$D$42)^2)/(B5*(1-$D$42-$D$44)+$D$44)</calculatedColumnFormula>
    </tableColumn>
    <tableColumn id="5" name="εEFF3">
      <calculatedColumnFormula>$C$51*$E$42+B5*((1-$E$42)^2)/(B5*(1-$E$42-$E$44)+$E$44)</calculatedColumnFormula>
    </tableColumn>
    <tableColumn id="6" name="εEFF4"/>
    <tableColumn id="7" name="εEFF5"/>
    <tableColumn id="8" name="Column1">
      <calculatedColumnFormula>$C$51*$H$42+B5*(1-$H$42)^2/(B5*(1-$H$42-$H$44)+$H$44)</calculatedColumnFormula>
    </tableColumn>
    <tableColumn id="9" name="Column2">
      <calculatedColumnFormula>120*PI()*$B$51/($H$37*SQRT(H5))</calculatedColumnFormula>
    </tableColumn>
    <tableColumn id="10" name="Column3"/>
    <tableColumn id="11" name="Column4"/>
    <tableColumn id="12" name="Column5"/>
    <tableColumn id="13" name="Column6"/>
    <tableColumn id="14" name="Column7"/>
    <tableColumn id="15" name="Column8"/>
    <tableColumn id="16" name="Column9">
      <calculatedColumnFormula>B5-1</calculatedColumnFormula>
    </tableColumn>
  </tableColumns>
  <tableStyleInfo name="TableStylePreset3_Accent1" showFirstColumn="0" showLastColumn="0" showRowStripes="1" showColumnStripes="0"/>
</table>
</file>

<file path=xl/tables/table26.xml><?xml version="1.0" encoding="utf-8"?>
<table xmlns="http://schemas.openxmlformats.org/spreadsheetml/2006/main" id="26" name="Table24_27" displayName="Table24_27" ref="A3:O32" totalsRowShown="0">
  <autoFilter xmlns:etc="http://www.wps.cn/officeDocument/2017/etCustomData" ref="A3:O32" etc:filterBottomFollowUsedRange="0"/>
  <tableColumns count="15">
    <tableColumn id="1" name="RH [%]">
      <calculatedColumnFormula>'H2O Calculations'!A8</calculatedColumnFormula>
    </tableColumn>
    <tableColumn id="2" name="ΕMUT">
      <calculatedColumnFormula>'Calculo de Dk Acetona'!B5</calculatedColumnFormula>
    </tableColumn>
    <tableColumn id="3" name="εEFF">
      <calculatedColumnFormula>'Calculo de Dk Acetona'!D5</calculatedColumnFormula>
    </tableColumn>
    <tableColumn id="4" name="θ">
      <calculatedColumnFormula>$D$2*360*$D$37*SQRT(C4*1)/$E$37</calculatedColumnFormula>
    </tableColumn>
    <tableColumn id="5" name="Δθ">
      <calculatedColumnFormula>D4-$D$4</calculatedColumnFormula>
    </tableColumn>
    <tableColumn id="6" name="θ2">
      <calculatedColumnFormula>$F$2*360*$D$37*SQRT(C4*1)/$E$37</calculatedColumnFormula>
    </tableColumn>
    <tableColumn id="7" name="Δθ2">
      <calculatedColumnFormula>F4-$F$4</calculatedColumnFormula>
    </tableColumn>
    <tableColumn id="8" name="θ3">
      <calculatedColumnFormula>$H$2*360*$D$37*SQRT(C4*1)/$E$37</calculatedColumnFormula>
    </tableColumn>
    <tableColumn id="9" name="Δθ3">
      <calculatedColumnFormula>H4-$H$4</calculatedColumnFormula>
    </tableColumn>
    <tableColumn id="10" name="θ4">
      <calculatedColumnFormula>$J$2*360*$D$37*SQRT(C4*1)/$E$37</calculatedColumnFormula>
    </tableColumn>
    <tableColumn id="11" name="Δθ4">
      <calculatedColumnFormula>J4-$J$4</calculatedColumnFormula>
    </tableColumn>
    <tableColumn id="12" name="θ5">
      <calculatedColumnFormula>$L$2*360*$D$37*SQRT(C4*1)/$E$37</calculatedColumnFormula>
    </tableColumn>
    <tableColumn id="13" name="Δθ5">
      <calculatedColumnFormula>L4-$L$4</calculatedColumnFormula>
    </tableColumn>
    <tableColumn id="14" name="θ6">
      <calculatedColumnFormula>$N$2*360*$D$37*SQRT(C4*1)/$E$37</calculatedColumnFormula>
    </tableColumn>
    <tableColumn id="15" name="Δθ6">
      <calculatedColumnFormula>N4-$N$4</calculatedColumnFormula>
    </tableColumn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table" Target="../tables/table8.xml"/><Relationship Id="rId8" Type="http://schemas.openxmlformats.org/officeDocument/2006/relationships/table" Target="../tables/table7.xml"/><Relationship Id="rId7" Type="http://schemas.openxmlformats.org/officeDocument/2006/relationships/table" Target="../tables/table6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5" Type="http://schemas.openxmlformats.org/officeDocument/2006/relationships/hyperlink" Target="https://www.nist.gov/system/files/documents/calibrations/5241.pdf" TargetMode="External"/><Relationship Id="rId14" Type="http://schemas.openxmlformats.org/officeDocument/2006/relationships/hyperlink" Target="https://sci-hub.se/https://doi.org/10.1063/1.1134331" TargetMode="External"/><Relationship Id="rId13" Type="http://schemas.openxmlformats.org/officeDocument/2006/relationships/hyperlink" Target="https://sci-hub.se/https://doi.org/10.1063/1.1702178" TargetMode="External"/><Relationship Id="rId12" Type="http://schemas.openxmlformats.org/officeDocument/2006/relationships/table" Target="../tables/table11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1.xml"/><Relationship Id="rId8" Type="http://schemas.openxmlformats.org/officeDocument/2006/relationships/table" Target="../tables/table20.xml"/><Relationship Id="rId7" Type="http://schemas.openxmlformats.org/officeDocument/2006/relationships/table" Target="../tables/table19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5" Type="http://schemas.openxmlformats.org/officeDocument/2006/relationships/hyperlink" Target="https://www.nist.gov/system/files/documents/calibrations/5241.pdf" TargetMode="External"/><Relationship Id="rId14" Type="http://schemas.openxmlformats.org/officeDocument/2006/relationships/hyperlink" Target="https://sci-hub.se/https://doi.org/10.1063/1.1134331" TargetMode="External"/><Relationship Id="rId13" Type="http://schemas.openxmlformats.org/officeDocument/2006/relationships/hyperlink" Target="https://sci-hub.se/https://doi.org/10.1063/1.1702178" TargetMode="External"/><Relationship Id="rId12" Type="http://schemas.openxmlformats.org/officeDocument/2006/relationships/table" Target="../tables/table24.xml"/><Relationship Id="rId11" Type="http://schemas.openxmlformats.org/officeDocument/2006/relationships/table" Target="../tables/table23.xml"/><Relationship Id="rId10" Type="http://schemas.openxmlformats.org/officeDocument/2006/relationships/table" Target="../tables/table2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physics.nist.gov/cgi-bin/cuu/Value?ep0" TargetMode="Externa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8"/>
  <sheetViews>
    <sheetView zoomScale="85" zoomScaleNormal="85" topLeftCell="A4" workbookViewId="0">
      <selection activeCell="G2" sqref="G2:M2"/>
    </sheetView>
  </sheetViews>
  <sheetFormatPr defaultColWidth="11.5333333333333" defaultRowHeight="12.8" customHeight="1"/>
  <cols>
    <col min="2" max="2" width="2.59047619047619" customWidth="1"/>
    <col min="3" max="3" width="16.2857142857143" customWidth="1"/>
    <col min="4" max="4" width="21.3619047619048" style="1" customWidth="1"/>
    <col min="5" max="5" width="21.9904761904762" customWidth="1"/>
    <col min="6" max="6" width="2.59047619047619" customWidth="1"/>
    <col min="7" max="7" width="25.9619047619048" style="34" hidden="1" customWidth="1" outlineLevel="1"/>
    <col min="8" max="8" width="2.59047619047619" hidden="1" customWidth="1" outlineLevel="1"/>
    <col min="9" max="9" width="25.9619047619048" hidden="1" customWidth="1" outlineLevel="1"/>
    <col min="10" max="10" width="2.59047619047619" hidden="1" customWidth="1" outlineLevel="1"/>
    <col min="11" max="11" width="25.9619047619048" hidden="1" customWidth="1" outlineLevel="1"/>
    <col min="12" max="12" width="2.59047619047619" hidden="1" customWidth="1" outlineLevel="1"/>
    <col min="13" max="13" width="25.9619047619048" customWidth="1" collapsed="1"/>
    <col min="14" max="14" width="2.59047619047619" customWidth="1"/>
    <col min="15" max="15" width="25.9619047619048" style="34" hidden="1" customWidth="1" outlineLevel="1"/>
    <col min="16" max="16" width="2.59047619047619" hidden="1" customWidth="1" outlineLevel="1"/>
    <col min="17" max="17" width="25.9619047619048" style="34" hidden="1" customWidth="1" outlineLevel="1"/>
    <col min="18" max="18" width="2.59047619047619" hidden="1" customWidth="1" outlineLevel="1"/>
    <col min="19" max="19" width="25.9619047619048" style="34" hidden="1" customWidth="1" outlineLevel="1"/>
    <col min="20" max="20" width="2.64761904761905" hidden="1" customWidth="1" outlineLevel="1"/>
    <col min="21" max="24" width="12.9714285714286" style="34" hidden="1" customWidth="1" outlineLevel="1"/>
    <col min="25" max="25" width="23.1428571428571" style="34" customWidth="1" collapsed="1"/>
    <col min="26" max="26" width="2.59047619047619" customWidth="1"/>
    <col min="27" max="27" width="15.2857142857143" hidden="1" customWidth="1" outlineLevel="1"/>
    <col min="28" max="28" width="13.8571428571429" style="27" hidden="1" customWidth="1" outlineLevel="1"/>
    <col min="29" max="29" width="12.9714285714286" hidden="1" customWidth="1" outlineLevel="1"/>
    <col min="30" max="30" width="25.9619047619048" customWidth="1" collapsed="1"/>
    <col min="31" max="31" width="2.59047619047619" customWidth="1"/>
    <col min="32" max="33" width="27.4285714285714" customWidth="1"/>
  </cols>
  <sheetData>
    <row r="1" ht="9.45" customHeight="1" spans="1:31">
      <c r="A1" s="35"/>
      <c r="B1" s="35"/>
      <c r="C1" s="36"/>
      <c r="D1" s="37"/>
      <c r="E1" s="36"/>
      <c r="F1" s="36"/>
      <c r="G1" s="38"/>
      <c r="H1" s="36"/>
      <c r="I1" s="36"/>
      <c r="J1" s="36"/>
      <c r="K1" s="36"/>
      <c r="L1" s="36"/>
      <c r="M1" s="36"/>
      <c r="N1" s="36"/>
      <c r="O1" s="45"/>
      <c r="P1" s="36"/>
      <c r="Q1" s="45"/>
      <c r="R1" s="36"/>
      <c r="S1" s="45"/>
      <c r="T1" s="36"/>
      <c r="U1" s="45"/>
      <c r="V1" s="45"/>
      <c r="W1" s="45"/>
      <c r="X1" s="45"/>
      <c r="Y1" s="45"/>
      <c r="Z1" s="36"/>
      <c r="AA1" s="36"/>
      <c r="AB1" s="67"/>
      <c r="AC1" s="36"/>
      <c r="AD1" s="36"/>
      <c r="AE1" s="36"/>
    </row>
    <row r="2" ht="52.2" customHeight="1" spans="1:31">
      <c r="A2" s="35"/>
      <c r="B2" s="35"/>
      <c r="C2" s="36"/>
      <c r="D2" s="37"/>
      <c r="E2" s="36"/>
      <c r="F2" s="36"/>
      <c r="G2" s="39" t="s">
        <v>0</v>
      </c>
      <c r="H2" s="39"/>
      <c r="I2" s="39"/>
      <c r="J2" s="39"/>
      <c r="K2" s="39"/>
      <c r="L2" s="39"/>
      <c r="M2" s="39"/>
      <c r="N2" s="36"/>
      <c r="O2" s="39" t="s">
        <v>1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6"/>
      <c r="AA2" s="68" t="s">
        <v>2</v>
      </c>
      <c r="AB2" s="68"/>
      <c r="AC2" s="68"/>
      <c r="AD2" s="68"/>
      <c r="AE2" s="36"/>
    </row>
    <row r="3" ht="41.35" customHeight="1" spans="1:31">
      <c r="A3" s="35"/>
      <c r="B3" s="35"/>
      <c r="C3" s="36"/>
      <c r="D3" s="37"/>
      <c r="E3" s="36"/>
      <c r="F3" s="36"/>
      <c r="G3" s="40" t="s">
        <v>3</v>
      </c>
      <c r="H3" s="41"/>
      <c r="I3" s="40" t="s">
        <v>4</v>
      </c>
      <c r="J3" s="60"/>
      <c r="K3" s="40" t="s">
        <v>5</v>
      </c>
      <c r="L3" s="41"/>
      <c r="M3" s="40" t="s">
        <v>6</v>
      </c>
      <c r="N3" s="61"/>
      <c r="O3" s="40" t="s">
        <v>7</v>
      </c>
      <c r="P3" s="61"/>
      <c r="Q3" s="40" t="s">
        <v>8</v>
      </c>
      <c r="R3" s="61"/>
      <c r="S3" s="40" t="s">
        <v>9</v>
      </c>
      <c r="T3" s="61"/>
      <c r="U3" s="66" t="s">
        <v>10</v>
      </c>
      <c r="V3" s="66"/>
      <c r="W3" s="66"/>
      <c r="X3" s="66"/>
      <c r="Y3" s="66"/>
      <c r="Z3" s="61"/>
      <c r="AA3" s="68"/>
      <c r="AB3" s="68"/>
      <c r="AC3" s="68"/>
      <c r="AD3" s="68"/>
      <c r="AE3" s="36"/>
    </row>
    <row r="4" ht="19.65" customHeight="1" spans="1:31">
      <c r="A4" s="35"/>
      <c r="B4" s="35"/>
      <c r="C4" s="36"/>
      <c r="D4" s="37"/>
      <c r="E4" s="36"/>
      <c r="F4" s="36"/>
      <c r="G4" s="42" t="s">
        <v>11</v>
      </c>
      <c r="H4" s="43"/>
      <c r="I4" s="42" t="s">
        <v>12</v>
      </c>
      <c r="J4" s="62"/>
      <c r="K4" s="42" t="s">
        <v>13</v>
      </c>
      <c r="L4" s="61"/>
      <c r="M4" s="63">
        <v>0.33</v>
      </c>
      <c r="N4" s="61"/>
      <c r="O4" s="42" t="s">
        <v>14</v>
      </c>
      <c r="P4" s="64"/>
      <c r="Q4" s="42" t="s">
        <v>15</v>
      </c>
      <c r="R4" s="64"/>
      <c r="S4" s="42" t="s">
        <v>16</v>
      </c>
      <c r="T4" s="64"/>
      <c r="V4" s="42"/>
      <c r="W4" s="42"/>
      <c r="X4" s="42"/>
      <c r="Y4" s="69">
        <v>0</v>
      </c>
      <c r="Z4" s="61"/>
      <c r="AB4" s="70">
        <f>($E$40/($E$60*$E$43))</f>
        <v>40.8739984023044</v>
      </c>
      <c r="AE4" s="36"/>
    </row>
    <row r="5" ht="42.5" customHeight="1" spans="1:31">
      <c r="A5" s="44"/>
      <c r="B5" s="44"/>
      <c r="C5" s="44"/>
      <c r="D5" s="44"/>
      <c r="E5" s="36"/>
      <c r="F5" s="36"/>
      <c r="H5" s="36"/>
      <c r="J5" s="36"/>
      <c r="L5" s="36"/>
      <c r="M5" t="s">
        <v>17</v>
      </c>
      <c r="N5" s="36"/>
      <c r="P5" s="36"/>
      <c r="R5" s="36"/>
      <c r="T5" s="36"/>
      <c r="Z5" s="36"/>
      <c r="AE5" s="36"/>
    </row>
    <row r="6" ht="8.2" customHeight="1" spans="1:31">
      <c r="A6" s="35"/>
      <c r="B6" s="35"/>
      <c r="C6" s="36"/>
      <c r="D6" s="37"/>
      <c r="E6" s="36"/>
      <c r="F6" s="36"/>
      <c r="G6" s="45"/>
      <c r="H6" s="36"/>
      <c r="I6" s="36"/>
      <c r="J6" s="36"/>
      <c r="K6" s="36"/>
      <c r="L6" s="36"/>
      <c r="M6" s="36"/>
      <c r="N6" s="36"/>
      <c r="O6" s="45"/>
      <c r="P6" s="36"/>
      <c r="Q6" s="45"/>
      <c r="R6" s="36"/>
      <c r="S6" s="45"/>
      <c r="T6" s="36"/>
      <c r="U6" s="45"/>
      <c r="V6" s="45"/>
      <c r="W6" s="45"/>
      <c r="X6" s="45"/>
      <c r="Y6" s="45"/>
      <c r="Z6" s="36"/>
      <c r="AA6" s="36"/>
      <c r="AB6" s="67"/>
      <c r="AC6" s="36"/>
      <c r="AD6" s="36"/>
      <c r="AE6" s="36"/>
    </row>
    <row r="7" ht="18" spans="1:33">
      <c r="A7" s="46" t="s">
        <v>18</v>
      </c>
      <c r="B7" s="47"/>
      <c r="C7" s="46" t="s">
        <v>19</v>
      </c>
      <c r="D7" s="48" t="s">
        <v>20</v>
      </c>
      <c r="E7" s="49" t="s">
        <v>21</v>
      </c>
      <c r="F7" s="36"/>
      <c r="G7" s="50" t="s">
        <v>22</v>
      </c>
      <c r="H7" s="36"/>
      <c r="I7" s="46" t="s">
        <v>23</v>
      </c>
      <c r="J7" s="36"/>
      <c r="K7" s="46" t="s">
        <v>24</v>
      </c>
      <c r="L7" s="36"/>
      <c r="M7" s="46" t="s">
        <v>25</v>
      </c>
      <c r="N7" s="36"/>
      <c r="O7" s="65" t="s">
        <v>26</v>
      </c>
      <c r="P7" s="36"/>
      <c r="Q7" s="65" t="s">
        <v>26</v>
      </c>
      <c r="R7" s="36"/>
      <c r="S7" s="65" t="s">
        <v>26</v>
      </c>
      <c r="T7" s="36"/>
      <c r="U7" s="65" t="s">
        <v>27</v>
      </c>
      <c r="V7" s="65" t="s">
        <v>28</v>
      </c>
      <c r="W7" s="65" t="s">
        <v>29</v>
      </c>
      <c r="X7" s="65" t="s">
        <v>30</v>
      </c>
      <c r="Y7" s="46" t="s">
        <v>31</v>
      </c>
      <c r="Z7" s="36"/>
      <c r="AA7" s="71" t="s">
        <v>32</v>
      </c>
      <c r="AB7" s="71" t="s">
        <v>33</v>
      </c>
      <c r="AC7" s="71" t="s">
        <v>34</v>
      </c>
      <c r="AD7" s="46" t="s">
        <v>35</v>
      </c>
      <c r="AE7" s="36"/>
      <c r="AF7" s="46" t="s">
        <v>34</v>
      </c>
      <c r="AG7" s="46" t="s">
        <v>35</v>
      </c>
    </row>
    <row r="8" ht="12.75" spans="1:33">
      <c r="A8" s="25">
        <v>0</v>
      </c>
      <c r="B8" s="36"/>
      <c r="C8">
        <f t="shared" ref="C8:C36" si="0">1000000*(A8/100)*$E$45/$E$41</f>
        <v>0</v>
      </c>
      <c r="D8" s="1">
        <f>C8/10000</f>
        <v>0</v>
      </c>
      <c r="E8" s="26">
        <f t="shared" ref="E8:E36" si="1">1-D8</f>
        <v>1</v>
      </c>
      <c r="F8" s="36"/>
      <c r="G8" s="34">
        <f t="shared" ref="G8:G36" si="2">E8*$E$57+D8*$E$46</f>
        <v>1.00053779988</v>
      </c>
      <c r="H8" s="36"/>
      <c r="I8" s="34">
        <f t="shared" ref="I8:I36" si="3">(E8*$E$57^(1/2)+D8*$E$46^(1/2))^2</f>
        <v>1.00053779988</v>
      </c>
      <c r="J8" s="36"/>
      <c r="K8" s="34">
        <f t="shared" ref="K8:K36" si="4">(E8*$E$57^(1/3)+D8*$E$46^(1/3))^3</f>
        <v>1.00053779988</v>
      </c>
      <c r="L8" s="36"/>
      <c r="M8" s="34">
        <f>(E8*$E$57^($M$4)+D8*$E$46^($M$4))^(1/$M$4)</f>
        <v>1.00053779988</v>
      </c>
      <c r="N8" s="36"/>
      <c r="O8" s="34">
        <f>$E$57+3*D8*$E$57*(($E$46-$E$57)/($E$46+2*$E$57-D8*($E$46-$E$57)))</f>
        <v>1.00053779988</v>
      </c>
      <c r="P8" s="36"/>
      <c r="R8" s="36"/>
      <c r="T8" s="36"/>
      <c r="U8" s="34">
        <f>$Y$4</f>
        <v>0</v>
      </c>
      <c r="V8" s="34">
        <f>$E$46*(1-D8*(1+$Y$4))+$E$57*(2+D8*(1+$Y$4))</f>
        <v>80.30441934976</v>
      </c>
      <c r="W8" s="34">
        <f t="shared" ref="W8:W36" si="5">-($E$46-$E$57)*D8*3*$E$57</f>
        <v>0</v>
      </c>
      <c r="X8" s="34">
        <f>IF(U8=0,-W8/V8,(-V8+SQRT(V8^2-4*U8*W8))/2*U8)</f>
        <v>0</v>
      </c>
      <c r="Y8" s="34">
        <f>X8+$E$57</f>
        <v>1.00053779988</v>
      </c>
      <c r="Z8" s="36"/>
      <c r="AA8" s="72">
        <f t="shared" ref="AA8:AA36" si="6">E8^2*$AB$48+2*E8*D8*$AB$50+D8^2*$AB$49</f>
        <v>-7.62444260891735e-6</v>
      </c>
      <c r="AB8" s="34">
        <f t="shared" ref="AB8:AB36" si="7">$E$40/(($E$60*$E$43)*(1+(AA9*$E$40/($E$60*$E$43))))</f>
        <v>40.8867426685329</v>
      </c>
      <c r="AC8" s="24">
        <f>$E$56*E8+$E$47*D8</f>
        <v>4.38504924667602</v>
      </c>
      <c r="AD8" s="34">
        <f>(2*(AB8)*AC8*0.000001+1)/(1-(AB8)*AC8*0.000001)</f>
        <v>1.00053796759283</v>
      </c>
      <c r="AE8" s="36"/>
      <c r="AF8" s="1">
        <f>$E$56*E8+$E$47*D8</f>
        <v>4.38504924667602</v>
      </c>
      <c r="AG8" s="1">
        <f>(2*($E$40/($E$60*$E$43))*AF8*0.000001+1)/(1-($E$40/($E$60*$E$43))*AF8*0.000001)</f>
        <v>1.00053779988</v>
      </c>
    </row>
    <row r="9" ht="12.75" spans="1:33">
      <c r="A9" s="25">
        <v>0.1</v>
      </c>
      <c r="B9" s="36"/>
      <c r="C9">
        <f t="shared" si="0"/>
        <v>31.2709737209517</v>
      </c>
      <c r="D9" s="1">
        <f t="shared" ref="D9:D36" si="8">C9/1000000</f>
        <v>3.12709737209517e-5</v>
      </c>
      <c r="E9" s="26">
        <f t="shared" si="1"/>
        <v>0.999968729026279</v>
      </c>
      <c r="F9" s="36"/>
      <c r="G9" s="34">
        <f t="shared" si="2"/>
        <v>1.00295513389342</v>
      </c>
      <c r="H9" s="36"/>
      <c r="I9" s="34">
        <f t="shared" si="3"/>
        <v>1.00102886187589</v>
      </c>
      <c r="J9" s="36"/>
      <c r="K9" s="34">
        <f t="shared" si="4"/>
        <v>1.00084546145303</v>
      </c>
      <c r="L9" s="36"/>
      <c r="M9" s="34">
        <f>(E9*$E$57^($M$4)+D9*$E$46^($M$4))^(1/$M$4)</f>
        <v>1.00084271699734</v>
      </c>
      <c r="N9" s="36"/>
      <c r="O9" s="34">
        <f t="shared" ref="O8:O36" si="9">$E$57+3*D9*$E$57*(($E$46-$E$57)/($E$46+2*$E$57-D9*($E$46-$E$57)))</f>
        <v>1.00062815755458</v>
      </c>
      <c r="P9" s="36"/>
      <c r="R9" s="36"/>
      <c r="T9" s="36"/>
      <c r="U9" s="34">
        <f>$Y$4</f>
        <v>0</v>
      </c>
      <c r="V9" s="34">
        <f>$E$46*(1-D9*(1+$Y$4))+$E$57*(2+D9*(1+$Y$4))</f>
        <v>80.3020020157466</v>
      </c>
      <c r="W9" s="34">
        <f t="shared" si="5"/>
        <v>-0.00725590216609311</v>
      </c>
      <c r="X9" s="34">
        <f t="shared" ref="X8:X36" si="10">IF(U9=0,-W9/V9,(-V9+SQRT(V9^2-4*U9*W9))/2*U9)</f>
        <v>9.03576745779051e-5</v>
      </c>
      <c r="Y9" s="34">
        <f t="shared" ref="Y8:Y36" si="11">X9+$E$57</f>
        <v>1.00062815755458</v>
      </c>
      <c r="Z9" s="36"/>
      <c r="AA9" s="72">
        <f t="shared" si="6"/>
        <v>-7.62579627461261e-6</v>
      </c>
      <c r="AB9" s="34">
        <f t="shared" si="7"/>
        <v>40.8867449313243</v>
      </c>
      <c r="AC9" s="24">
        <f t="shared" ref="AC9:AC36" si="12">$E$56*E9+$E$47*D9</f>
        <v>5.12138868601162</v>
      </c>
      <c r="AD9" s="34">
        <f t="shared" ref="AD9:AD36" si="13">(2*(AB9)*AC9*0.000001+1)/(1-(AB9)*AC9*0.000001)</f>
        <v>1.00062832230745</v>
      </c>
      <c r="AE9" s="36"/>
      <c r="AF9" s="1">
        <f t="shared" ref="AF8:AF36" si="14">$E$56*E9+$E$47*D9</f>
        <v>5.12138868601162</v>
      </c>
      <c r="AG9" s="1">
        <f t="shared" ref="AG8:AG36" si="15">(2*($E$40/($E$60*$E$43))*AF9*0.000001+1)/(1-($E$40/($E$60*$E$43))*AF9*0.000001)</f>
        <v>1.00062812638563</v>
      </c>
    </row>
    <row r="10" ht="12.75" spans="1:33">
      <c r="A10" s="25">
        <v>0.2</v>
      </c>
      <c r="B10" s="36"/>
      <c r="C10">
        <f t="shared" si="0"/>
        <v>62.5419474419035</v>
      </c>
      <c r="D10" s="1">
        <f t="shared" si="8"/>
        <v>6.25419474419035e-5</v>
      </c>
      <c r="E10" s="26">
        <f t="shared" si="1"/>
        <v>0.999937458052558</v>
      </c>
      <c r="F10" s="36"/>
      <c r="G10" s="34">
        <f t="shared" si="2"/>
        <v>1.00537246790684</v>
      </c>
      <c r="H10" s="36"/>
      <c r="I10" s="34">
        <f t="shared" si="3"/>
        <v>1.00152004434834</v>
      </c>
      <c r="J10" s="36"/>
      <c r="K10" s="34">
        <f t="shared" si="4"/>
        <v>1.00115318608943</v>
      </c>
      <c r="L10" s="36"/>
      <c r="M10" s="34">
        <f>(E10*$E$57^($M$4)+D10*$E$46^($M$4))^(1/$M$4)</f>
        <v>1.00114769636781</v>
      </c>
      <c r="N10" s="36"/>
      <c r="O10" s="34">
        <f t="shared" si="9"/>
        <v>1.0007185206694</v>
      </c>
      <c r="P10" s="36"/>
      <c r="R10" s="36"/>
      <c r="T10" s="36"/>
      <c r="U10" s="34">
        <f>$Y$4</f>
        <v>0</v>
      </c>
      <c r="V10" s="34">
        <f>$E$46*(1-D10*(1+$Y$4))+$E$57*(2+D10*(1+$Y$4))</f>
        <v>80.2995846817332</v>
      </c>
      <c r="W10" s="34">
        <f t="shared" si="5"/>
        <v>-0.0145118043321862</v>
      </c>
      <c r="X10" s="34">
        <f t="shared" si="10"/>
        <v>0.00018072078940014</v>
      </c>
      <c r="Y10" s="34">
        <f t="shared" si="11"/>
        <v>1.0007185206694</v>
      </c>
      <c r="Z10" s="36"/>
      <c r="AA10" s="72">
        <f t="shared" si="6"/>
        <v>-7.62714984073475e-6</v>
      </c>
      <c r="AB10" s="34">
        <f t="shared" si="7"/>
        <v>40.8867471939495</v>
      </c>
      <c r="AC10" s="24">
        <f t="shared" si="12"/>
        <v>5.85772812534722</v>
      </c>
      <c r="AD10" s="34">
        <f t="shared" si="13"/>
        <v>1.00071868247391</v>
      </c>
      <c r="AE10" s="36"/>
      <c r="AF10" s="1">
        <f t="shared" si="14"/>
        <v>5.85772812534721</v>
      </c>
      <c r="AG10" s="1">
        <f t="shared" si="15"/>
        <v>1.0007184583297</v>
      </c>
    </row>
    <row r="11" ht="12.75" spans="1:33">
      <c r="A11" s="25">
        <v>0.3</v>
      </c>
      <c r="B11" s="36"/>
      <c r="C11">
        <f t="shared" si="0"/>
        <v>93.8129211628552</v>
      </c>
      <c r="D11" s="1">
        <f t="shared" si="8"/>
        <v>9.38129211628552e-5</v>
      </c>
      <c r="E11" s="26">
        <f t="shared" si="1"/>
        <v>0.999906187078837</v>
      </c>
      <c r="F11" s="36"/>
      <c r="G11" s="34">
        <f t="shared" si="2"/>
        <v>1.00778980192026</v>
      </c>
      <c r="H11" s="36"/>
      <c r="I11" s="34">
        <f t="shared" si="3"/>
        <v>1.00201134729737</v>
      </c>
      <c r="J11" s="36"/>
      <c r="K11" s="34">
        <f t="shared" si="4"/>
        <v>1.00146097379568</v>
      </c>
      <c r="L11" s="36"/>
      <c r="M11" s="34">
        <f>(E11*$E$57^($M$4)+D11*$E$46^($M$4))^(1/$M$4)</f>
        <v>1.00145273799787</v>
      </c>
      <c r="N11" s="36"/>
      <c r="O11" s="34">
        <f t="shared" si="9"/>
        <v>1.00080888922496</v>
      </c>
      <c r="P11" s="36"/>
      <c r="R11" s="36"/>
      <c r="T11" s="36"/>
      <c r="U11" s="34">
        <f>$Y$4</f>
        <v>0</v>
      </c>
      <c r="V11" s="34">
        <f>$E$46*(1-D11*(1+$Y$4))+$E$57*(2+D11*(1+$Y$4))</f>
        <v>80.2971673477197</v>
      </c>
      <c r="W11" s="34">
        <f t="shared" si="5"/>
        <v>-0.0217677064982793</v>
      </c>
      <c r="X11" s="34">
        <f t="shared" si="10"/>
        <v>0.000271089344958038</v>
      </c>
      <c r="Y11" s="34">
        <f t="shared" si="11"/>
        <v>1.00080888922496</v>
      </c>
      <c r="Z11" s="36"/>
      <c r="AA11" s="72">
        <f t="shared" si="6"/>
        <v>-7.62850330728376e-6</v>
      </c>
      <c r="AB11" s="34">
        <f t="shared" si="7"/>
        <v>40.8867494564085</v>
      </c>
      <c r="AC11" s="24">
        <f t="shared" si="12"/>
        <v>6.59406756468281</v>
      </c>
      <c r="AD11" s="34">
        <f t="shared" si="13"/>
        <v>1.00080904809269</v>
      </c>
      <c r="AE11" s="36"/>
      <c r="AF11" s="1">
        <f t="shared" si="14"/>
        <v>6.59406756468281</v>
      </c>
      <c r="AG11" s="1">
        <f t="shared" si="15"/>
        <v>1.00080879571271</v>
      </c>
    </row>
    <row r="12" ht="12.75" spans="1:33">
      <c r="A12" s="25">
        <v>0.4</v>
      </c>
      <c r="B12" s="36"/>
      <c r="C12">
        <f t="shared" si="0"/>
        <v>125.083894883807</v>
      </c>
      <c r="D12" s="1">
        <f t="shared" si="8"/>
        <v>0.000125083894883807</v>
      </c>
      <c r="E12" s="26">
        <f t="shared" si="1"/>
        <v>0.999874916105116</v>
      </c>
      <c r="F12" s="36"/>
      <c r="G12" s="34">
        <f t="shared" si="2"/>
        <v>1.01020713593369</v>
      </c>
      <c r="H12" s="36"/>
      <c r="I12" s="34">
        <f t="shared" si="3"/>
        <v>1.00250277072297</v>
      </c>
      <c r="J12" s="36"/>
      <c r="K12" s="34">
        <f t="shared" si="4"/>
        <v>1.00176882457823</v>
      </c>
      <c r="L12" s="36"/>
      <c r="M12" s="34">
        <f>(E12*$E$57^($M$4)+D12*$E$46^($M$4))^(1/$M$4)</f>
        <v>1.00175784189396</v>
      </c>
      <c r="N12" s="36"/>
      <c r="O12" s="34">
        <f t="shared" si="9"/>
        <v>1.00089926322174</v>
      </c>
      <c r="P12" s="36"/>
      <c r="R12" s="36"/>
      <c r="T12" s="36"/>
      <c r="U12" s="34">
        <f>$Y$4</f>
        <v>0</v>
      </c>
      <c r="V12" s="34">
        <f>$E$46*(1-D12*(1+$Y$4))+$E$57*(2+D12*(1+$Y$4))</f>
        <v>80.2947500137063</v>
      </c>
      <c r="W12" s="34">
        <f t="shared" si="5"/>
        <v>-0.0290236086643724</v>
      </c>
      <c r="X12" s="34">
        <f t="shared" si="10"/>
        <v>0.000361463341742992</v>
      </c>
      <c r="Y12" s="34">
        <f t="shared" si="11"/>
        <v>1.00089926322174</v>
      </c>
      <c r="Z12" s="36"/>
      <c r="AA12" s="72">
        <f t="shared" si="6"/>
        <v>-7.62985667425965e-6</v>
      </c>
      <c r="AB12" s="34">
        <f t="shared" si="7"/>
        <v>40.8867517187014</v>
      </c>
      <c r="AC12" s="24">
        <f t="shared" si="12"/>
        <v>7.33040700401841</v>
      </c>
      <c r="AD12" s="34">
        <f t="shared" si="13"/>
        <v>1.0008994191643</v>
      </c>
      <c r="AE12" s="36"/>
      <c r="AF12" s="1">
        <f t="shared" si="14"/>
        <v>7.33040700401841</v>
      </c>
      <c r="AG12" s="1">
        <f t="shared" si="15"/>
        <v>1.00089913853514</v>
      </c>
    </row>
    <row r="13" ht="12.75" spans="1:33">
      <c r="A13" s="25">
        <v>0.5</v>
      </c>
      <c r="B13" s="36"/>
      <c r="C13">
        <f t="shared" si="0"/>
        <v>156.354868604759</v>
      </c>
      <c r="D13" s="1">
        <f t="shared" si="8"/>
        <v>0.000156354868604759</v>
      </c>
      <c r="E13" s="26">
        <f t="shared" si="1"/>
        <v>0.999843645131395</v>
      </c>
      <c r="F13" s="36"/>
      <c r="G13" s="34">
        <f t="shared" si="2"/>
        <v>1.01262446994711</v>
      </c>
      <c r="H13" s="36"/>
      <c r="I13" s="34">
        <f t="shared" si="3"/>
        <v>1.00299431462514</v>
      </c>
      <c r="J13" s="36"/>
      <c r="K13" s="34">
        <f t="shared" si="4"/>
        <v>1.00207673844356</v>
      </c>
      <c r="L13" s="36"/>
      <c r="M13" s="34">
        <f>(E13*$E$57^($M$4)+D13*$E$46^($M$4))^(1/$M$4)</f>
        <v>1.00206300806254</v>
      </c>
      <c r="N13" s="36"/>
      <c r="O13" s="34">
        <f t="shared" si="9"/>
        <v>1.00098964266024</v>
      </c>
      <c r="P13" s="36"/>
      <c r="R13" s="36"/>
      <c r="T13" s="36"/>
      <c r="U13" s="34">
        <f>$Y$4</f>
        <v>0</v>
      </c>
      <c r="V13" s="34">
        <f>$E$46*(1-D13*(1+$Y$4))+$E$57*(2+D13*(1+$Y$4))</f>
        <v>80.2923326796929</v>
      </c>
      <c r="W13" s="34">
        <f t="shared" si="5"/>
        <v>-0.0362795108304655</v>
      </c>
      <c r="X13" s="34">
        <f t="shared" si="10"/>
        <v>0.000451842780246453</v>
      </c>
      <c r="Y13" s="34">
        <f t="shared" si="11"/>
        <v>1.00098964266025</v>
      </c>
      <c r="Z13" s="36"/>
      <c r="AA13" s="72">
        <f t="shared" si="6"/>
        <v>-7.63120994166241e-6</v>
      </c>
      <c r="AB13" s="34">
        <f t="shared" si="7"/>
        <v>40.886753980828</v>
      </c>
      <c r="AC13" s="24">
        <f t="shared" si="12"/>
        <v>8.06674644335402</v>
      </c>
      <c r="AD13" s="34">
        <f t="shared" si="13"/>
        <v>1.00098979568923</v>
      </c>
      <c r="AE13" s="36"/>
      <c r="AF13" s="1">
        <f t="shared" si="14"/>
        <v>8.06674644335401</v>
      </c>
      <c r="AG13" s="1">
        <f t="shared" si="15"/>
        <v>1.00098948679748</v>
      </c>
    </row>
    <row r="14" ht="12.75" spans="1:33">
      <c r="A14" s="25">
        <v>0.6</v>
      </c>
      <c r="B14" s="36"/>
      <c r="C14">
        <f t="shared" si="0"/>
        <v>187.62584232571</v>
      </c>
      <c r="D14" s="1">
        <f t="shared" si="8"/>
        <v>0.00018762584232571</v>
      </c>
      <c r="E14" s="26">
        <f t="shared" si="1"/>
        <v>0.999812374157674</v>
      </c>
      <c r="F14" s="36"/>
      <c r="G14" s="34">
        <f t="shared" si="2"/>
        <v>1.01504180396053</v>
      </c>
      <c r="H14" s="36"/>
      <c r="I14" s="34">
        <f t="shared" si="3"/>
        <v>1.00348597900389</v>
      </c>
      <c r="J14" s="36"/>
      <c r="K14" s="34">
        <f t="shared" si="4"/>
        <v>1.00238471539811</v>
      </c>
      <c r="L14" s="36"/>
      <c r="M14" s="34">
        <f>(E14*$E$57^($M$4)+D14*$E$46^($M$4))^(1/$M$4)</f>
        <v>1.00236823651005</v>
      </c>
      <c r="N14" s="36"/>
      <c r="O14" s="34">
        <f t="shared" si="9"/>
        <v>1.00108002754096</v>
      </c>
      <c r="P14" s="36"/>
      <c r="R14" s="36"/>
      <c r="T14" s="36"/>
      <c r="U14" s="34">
        <f>$Y$4</f>
        <v>0</v>
      </c>
      <c r="V14" s="34">
        <f>$E$46*(1-D14*(1+$Y$4))+$E$57*(2+D14*(1+$Y$4))</f>
        <v>80.2899153456795</v>
      </c>
      <c r="W14" s="34">
        <f t="shared" si="5"/>
        <v>-0.0435354129965586</v>
      </c>
      <c r="X14" s="34">
        <f t="shared" si="10"/>
        <v>0.000542227660959931</v>
      </c>
      <c r="Y14" s="34">
        <f t="shared" si="11"/>
        <v>1.00108002754096</v>
      </c>
      <c r="Z14" s="36"/>
      <c r="AA14" s="72">
        <f t="shared" si="6"/>
        <v>-7.63256310949205e-6</v>
      </c>
      <c r="AB14" s="34">
        <f t="shared" si="7"/>
        <v>40.8867562427883</v>
      </c>
      <c r="AC14" s="24">
        <f t="shared" si="12"/>
        <v>8.8030858826896</v>
      </c>
      <c r="AD14" s="34">
        <f t="shared" si="13"/>
        <v>1.00108017766795</v>
      </c>
      <c r="AE14" s="36"/>
      <c r="AF14" s="1">
        <f t="shared" si="14"/>
        <v>8.8030858826896</v>
      </c>
      <c r="AG14" s="1">
        <f t="shared" si="15"/>
        <v>1.00107984050023</v>
      </c>
    </row>
    <row r="15" ht="12.75" spans="1:33">
      <c r="A15" s="25">
        <v>0.7</v>
      </c>
      <c r="B15" s="36"/>
      <c r="C15">
        <f t="shared" si="0"/>
        <v>218.896816046662</v>
      </c>
      <c r="D15" s="1">
        <f t="shared" si="8"/>
        <v>0.000218896816046662</v>
      </c>
      <c r="E15" s="26">
        <f t="shared" si="1"/>
        <v>0.999781103183953</v>
      </c>
      <c r="F15" s="36"/>
      <c r="G15" s="34">
        <f t="shared" si="2"/>
        <v>1.01745913797395</v>
      </c>
      <c r="H15" s="36"/>
      <c r="I15" s="34">
        <f t="shared" si="3"/>
        <v>1.0039777638592</v>
      </c>
      <c r="J15" s="36"/>
      <c r="K15" s="34">
        <f t="shared" si="4"/>
        <v>1.00269275544835</v>
      </c>
      <c r="L15" s="36"/>
      <c r="M15" s="34">
        <f>(E15*$E$57^($M$4)+D15*$E$46^($M$4))^(1/$M$4)</f>
        <v>1.00267352724294</v>
      </c>
      <c r="N15" s="36"/>
      <c r="O15" s="34">
        <f t="shared" si="9"/>
        <v>1.00117041786437</v>
      </c>
      <c r="P15" s="36"/>
      <c r="R15" s="36"/>
      <c r="T15" s="36"/>
      <c r="U15" s="34">
        <f>$Y$4</f>
        <v>0</v>
      </c>
      <c r="V15" s="34">
        <f>$E$46*(1-D15*(1+$Y$4))+$E$57*(2+D15*(1+$Y$4))</f>
        <v>80.287498011666</v>
      </c>
      <c r="W15" s="34">
        <f t="shared" si="5"/>
        <v>-0.0507913151626517</v>
      </c>
      <c r="X15" s="34">
        <f t="shared" si="10"/>
        <v>0.000632617984374997</v>
      </c>
      <c r="Y15" s="34">
        <f t="shared" si="11"/>
        <v>1.00117041786437</v>
      </c>
      <c r="Z15" s="36"/>
      <c r="AA15" s="72">
        <f t="shared" si="6"/>
        <v>-7.63391617774857e-6</v>
      </c>
      <c r="AB15" s="34">
        <f t="shared" si="7"/>
        <v>40.8867585045825</v>
      </c>
      <c r="AC15" s="24">
        <f t="shared" si="12"/>
        <v>9.5394253220252</v>
      </c>
      <c r="AD15" s="34">
        <f t="shared" si="13"/>
        <v>1.00117056510098</v>
      </c>
      <c r="AE15" s="36"/>
      <c r="AF15" s="1">
        <f t="shared" si="14"/>
        <v>9.5394253220252</v>
      </c>
      <c r="AG15" s="1">
        <f t="shared" si="15"/>
        <v>1.00117019964387</v>
      </c>
    </row>
    <row r="16" ht="12.75" spans="1:33">
      <c r="A16" s="25">
        <v>0.8</v>
      </c>
      <c r="B16" s="36"/>
      <c r="C16">
        <f t="shared" si="0"/>
        <v>250.167789767614</v>
      </c>
      <c r="D16" s="1">
        <f t="shared" si="8"/>
        <v>0.000250167789767614</v>
      </c>
      <c r="E16" s="26">
        <f t="shared" si="1"/>
        <v>0.999749832210232</v>
      </c>
      <c r="F16" s="36"/>
      <c r="G16" s="34">
        <f t="shared" si="2"/>
        <v>1.01987647198737</v>
      </c>
      <c r="H16" s="36"/>
      <c r="I16" s="34">
        <f t="shared" si="3"/>
        <v>1.00446966919108</v>
      </c>
      <c r="J16" s="36"/>
      <c r="K16" s="34">
        <f t="shared" si="4"/>
        <v>1.00300085860075</v>
      </c>
      <c r="L16" s="36"/>
      <c r="M16" s="34">
        <f>(E16*$E$57^($M$4)+D16*$E$46^($M$4))^(1/$M$4)</f>
        <v>1.00297888026767</v>
      </c>
      <c r="N16" s="36"/>
      <c r="O16" s="34">
        <f t="shared" si="9"/>
        <v>1.00126081363098</v>
      </c>
      <c r="P16" s="36"/>
      <c r="R16" s="36"/>
      <c r="T16" s="36"/>
      <c r="U16" s="34">
        <f>$Y$4</f>
        <v>0</v>
      </c>
      <c r="V16" s="34">
        <f>$E$46*(1-D16*(1+$Y$4))+$E$57*(2+D16*(1+$Y$4))</f>
        <v>80.2850806776526</v>
      </c>
      <c r="W16" s="34">
        <f t="shared" si="5"/>
        <v>-0.0580472173287448</v>
      </c>
      <c r="X16" s="34">
        <f t="shared" si="10"/>
        <v>0.00072301375098328</v>
      </c>
      <c r="Y16" s="34">
        <f t="shared" si="11"/>
        <v>1.00126081363098</v>
      </c>
      <c r="Z16" s="36"/>
      <c r="AA16" s="72">
        <f t="shared" si="6"/>
        <v>-7.63526914643196e-6</v>
      </c>
      <c r="AB16" s="34">
        <f t="shared" si="7"/>
        <v>40.8867607662105</v>
      </c>
      <c r="AC16" s="24">
        <f t="shared" si="12"/>
        <v>10.2757647613608</v>
      </c>
      <c r="AD16" s="34">
        <f t="shared" si="13"/>
        <v>1.0012609579888</v>
      </c>
      <c r="AE16" s="36"/>
      <c r="AF16" s="1">
        <f t="shared" si="14"/>
        <v>10.2757647613608</v>
      </c>
      <c r="AG16" s="1">
        <f t="shared" si="15"/>
        <v>1.0012605642289</v>
      </c>
    </row>
    <row r="17" ht="12.75" spans="1:33">
      <c r="A17" s="25">
        <v>0.9</v>
      </c>
      <c r="B17" s="36"/>
      <c r="C17">
        <f t="shared" si="0"/>
        <v>281.438763488566</v>
      </c>
      <c r="D17" s="1">
        <f t="shared" si="8"/>
        <v>0.000281438763488566</v>
      </c>
      <c r="E17" s="26">
        <f t="shared" si="1"/>
        <v>0.999718561236511</v>
      </c>
      <c r="F17" s="36"/>
      <c r="G17" s="34">
        <f t="shared" si="2"/>
        <v>1.0222938060008</v>
      </c>
      <c r="H17" s="36"/>
      <c r="I17" s="34">
        <f t="shared" si="3"/>
        <v>1.00496169499953</v>
      </c>
      <c r="J17" s="36"/>
      <c r="K17" s="34">
        <f t="shared" si="4"/>
        <v>1.00330902486177</v>
      </c>
      <c r="L17" s="36"/>
      <c r="M17" s="34">
        <f>(E17*$E$57^($M$4)+D17*$E$46^($M$4))^(1/$M$4)</f>
        <v>1.00328429559068</v>
      </c>
      <c r="N17" s="36"/>
      <c r="O17" s="34">
        <f t="shared" si="9"/>
        <v>1.00135121484127</v>
      </c>
      <c r="P17" s="36"/>
      <c r="R17" s="36"/>
      <c r="T17" s="36"/>
      <c r="U17" s="34">
        <f>$Y$4</f>
        <v>0</v>
      </c>
      <c r="V17" s="34">
        <f>$E$46*(1-D17*(1+$Y$4))+$E$57*(2+D17*(1+$Y$4))</f>
        <v>80.2826633436392</v>
      </c>
      <c r="W17" s="34">
        <f t="shared" si="5"/>
        <v>-0.065303119494838</v>
      </c>
      <c r="X17" s="34">
        <f t="shared" si="10"/>
        <v>0.000813414961276468</v>
      </c>
      <c r="Y17" s="34">
        <f t="shared" si="11"/>
        <v>1.00135121484128</v>
      </c>
      <c r="Z17" s="36"/>
      <c r="AA17" s="72">
        <f t="shared" si="6"/>
        <v>-7.63662201554222e-6</v>
      </c>
      <c r="AB17" s="34">
        <f t="shared" si="7"/>
        <v>40.8867630276723</v>
      </c>
      <c r="AC17" s="24">
        <f t="shared" si="12"/>
        <v>11.0121042006964</v>
      </c>
      <c r="AD17" s="34">
        <f t="shared" si="13"/>
        <v>1.00135135633191</v>
      </c>
      <c r="AE17" s="36"/>
      <c r="AF17" s="1">
        <f t="shared" si="14"/>
        <v>11.0121042006964</v>
      </c>
      <c r="AG17" s="1">
        <f t="shared" si="15"/>
        <v>1.00135093425582</v>
      </c>
    </row>
    <row r="18" ht="12.75" spans="1:33">
      <c r="A18" s="25">
        <v>1</v>
      </c>
      <c r="B18" s="36"/>
      <c r="C18">
        <f t="shared" si="0"/>
        <v>312.709737209517</v>
      </c>
      <c r="D18" s="1">
        <f t="shared" si="8"/>
        <v>0.000312709737209517</v>
      </c>
      <c r="E18" s="26">
        <f t="shared" si="1"/>
        <v>0.99968729026279</v>
      </c>
      <c r="F18" s="36"/>
      <c r="G18" s="34">
        <f t="shared" si="2"/>
        <v>1.02471114001422</v>
      </c>
      <c r="H18" s="36"/>
      <c r="I18" s="34">
        <f t="shared" si="3"/>
        <v>1.00545384128456</v>
      </c>
      <c r="J18" s="36"/>
      <c r="K18" s="34">
        <f t="shared" si="4"/>
        <v>1.00361725423787</v>
      </c>
      <c r="L18" s="36"/>
      <c r="M18" s="34">
        <f>(E18*$E$57^($M$4)+D18*$E$46^($M$4))^(1/$M$4)</f>
        <v>1.00358977321841</v>
      </c>
      <c r="N18" s="36"/>
      <c r="O18" s="34">
        <f t="shared" si="9"/>
        <v>1.00144162149574</v>
      </c>
      <c r="P18" s="36"/>
      <c r="R18" s="36"/>
      <c r="T18" s="36"/>
      <c r="U18" s="34">
        <f>$Y$4</f>
        <v>0</v>
      </c>
      <c r="V18" s="34">
        <f>$E$46*(1-D18*(1+$Y$4))+$E$57*(2+D18*(1+$Y$4))</f>
        <v>80.2802460096258</v>
      </c>
      <c r="W18" s="34">
        <f t="shared" si="5"/>
        <v>-0.072559021660931</v>
      </c>
      <c r="X18" s="34">
        <f t="shared" si="10"/>
        <v>0.000903821615746308</v>
      </c>
      <c r="Y18" s="34">
        <f t="shared" si="11"/>
        <v>1.00144162149575</v>
      </c>
      <c r="Z18" s="36"/>
      <c r="AA18" s="72">
        <f t="shared" si="6"/>
        <v>-7.63797478507936e-6</v>
      </c>
      <c r="AB18" s="34">
        <f t="shared" si="7"/>
        <v>40.8867856331484</v>
      </c>
      <c r="AC18" s="24">
        <f t="shared" si="12"/>
        <v>11.748443640032</v>
      </c>
      <c r="AD18" s="34">
        <f t="shared" si="13"/>
        <v>1.00144176084851</v>
      </c>
      <c r="AE18" s="36"/>
      <c r="AF18" s="1">
        <f t="shared" si="14"/>
        <v>11.748443640032</v>
      </c>
      <c r="AG18" s="1">
        <f t="shared" si="15"/>
        <v>1.0014413097251</v>
      </c>
    </row>
    <row r="19" ht="12.75" spans="1:33">
      <c r="A19" s="25">
        <v>2</v>
      </c>
      <c r="B19" s="36"/>
      <c r="C19">
        <f t="shared" si="0"/>
        <v>625.419474419035</v>
      </c>
      <c r="D19" s="1">
        <f t="shared" si="8"/>
        <v>0.000625419474419035</v>
      </c>
      <c r="E19" s="26">
        <f t="shared" si="1"/>
        <v>0.999374580525581</v>
      </c>
      <c r="F19" s="36"/>
      <c r="G19" s="34">
        <f t="shared" si="2"/>
        <v>1.04888448014844</v>
      </c>
      <c r="H19" s="36"/>
      <c r="I19" s="34">
        <f t="shared" si="3"/>
        <v>1.01038193034619</v>
      </c>
      <c r="J19" s="36"/>
      <c r="K19" s="34">
        <f t="shared" si="4"/>
        <v>1.00670302075003</v>
      </c>
      <c r="L19" s="36"/>
      <c r="M19" s="34">
        <f>(E19*$E$57^($M$4)+D19*$E$46^($M$4))^(1/$M$4)</f>
        <v>1.00664797767482</v>
      </c>
      <c r="N19" s="36"/>
      <c r="O19" s="34">
        <f t="shared" si="9"/>
        <v>1.00234598757839</v>
      </c>
      <c r="P19" s="36"/>
      <c r="R19" s="36"/>
      <c r="T19" s="36"/>
      <c r="U19" s="34">
        <f>$Y$4</f>
        <v>0</v>
      </c>
      <c r="V19" s="34">
        <f>$E$46*(1-D19*(1+$Y$4))+$E$57*(2+D19*(1+$Y$4))</f>
        <v>80.2560726694915</v>
      </c>
      <c r="W19" s="34">
        <f t="shared" si="5"/>
        <v>-0.145118043321862</v>
      </c>
      <c r="X19" s="34">
        <f t="shared" si="10"/>
        <v>0.00180818769838743</v>
      </c>
      <c r="Y19" s="34">
        <f t="shared" si="11"/>
        <v>1.00234598757839</v>
      </c>
      <c r="Z19" s="36"/>
      <c r="AA19" s="72">
        <f t="shared" si="6"/>
        <v>-7.6514970039289e-6</v>
      </c>
      <c r="AB19" s="34">
        <f t="shared" si="7"/>
        <v>40.8868082220036</v>
      </c>
      <c r="AC19" s="24">
        <f t="shared" si="12"/>
        <v>19.111838033388</v>
      </c>
      <c r="AD19" s="34">
        <f t="shared" si="13"/>
        <v>1.00234609946319</v>
      </c>
      <c r="AE19" s="36"/>
      <c r="AF19" s="1">
        <f t="shared" si="14"/>
        <v>19.111838033388</v>
      </c>
      <c r="AG19" s="1">
        <f t="shared" si="15"/>
        <v>1.00234536385658</v>
      </c>
    </row>
    <row r="20" ht="12.75" spans="1:33">
      <c r="A20" s="25">
        <v>3</v>
      </c>
      <c r="B20" s="36"/>
      <c r="C20">
        <f t="shared" si="0"/>
        <v>938.129211628552</v>
      </c>
      <c r="D20" s="1">
        <f t="shared" si="8"/>
        <v>0.000938129211628552</v>
      </c>
      <c r="E20" s="26">
        <f t="shared" si="1"/>
        <v>0.999061870788371</v>
      </c>
      <c r="F20" s="36"/>
      <c r="G20" s="34">
        <f t="shared" si="2"/>
        <v>1.07305782028266</v>
      </c>
      <c r="H20" s="36"/>
      <c r="I20" s="34">
        <f t="shared" si="3"/>
        <v>1.01532206706489</v>
      </c>
      <c r="J20" s="36"/>
      <c r="K20" s="34">
        <f t="shared" si="4"/>
        <v>1.0097951058791</v>
      </c>
      <c r="L20" s="36"/>
      <c r="M20" s="34">
        <f>(E20*$E$57^($M$4)+D20*$E$46^($M$4))^(1/$M$4)</f>
        <v>1.00971241969861</v>
      </c>
      <c r="N20" s="36"/>
      <c r="O20" s="34">
        <f t="shared" si="9"/>
        <v>1.00325089862005</v>
      </c>
      <c r="P20" s="36"/>
      <c r="R20" s="36"/>
      <c r="T20" s="36"/>
      <c r="U20" s="34">
        <f>$Y$4</f>
        <v>0</v>
      </c>
      <c r="V20" s="34">
        <f>$E$46*(1-D20*(1+$Y$4))+$E$57*(2+D20*(1+$Y$4))</f>
        <v>80.2318993293573</v>
      </c>
      <c r="W20" s="34">
        <f t="shared" si="5"/>
        <v>-0.217677064982793</v>
      </c>
      <c r="X20" s="34">
        <f t="shared" si="10"/>
        <v>0.00271309874005617</v>
      </c>
      <c r="Y20" s="34">
        <f t="shared" si="11"/>
        <v>1.00325089862006</v>
      </c>
      <c r="Z20" s="36"/>
      <c r="AA20" s="72">
        <f t="shared" si="6"/>
        <v>-7.66500926546595e-6</v>
      </c>
      <c r="AB20" s="34">
        <f t="shared" si="7"/>
        <v>40.8868307942378</v>
      </c>
      <c r="AC20" s="24">
        <f t="shared" si="12"/>
        <v>26.475232426744</v>
      </c>
      <c r="AD20" s="34">
        <f t="shared" si="13"/>
        <v>1.00325098419793</v>
      </c>
      <c r="AE20" s="36"/>
      <c r="AF20" s="1">
        <f t="shared" si="14"/>
        <v>26.4752324267439</v>
      </c>
      <c r="AG20" s="1">
        <f t="shared" si="15"/>
        <v>1.00324996276642</v>
      </c>
    </row>
    <row r="21" ht="12.75" spans="1:33">
      <c r="A21" s="25">
        <v>4</v>
      </c>
      <c r="B21" s="36"/>
      <c r="C21">
        <f t="shared" si="0"/>
        <v>1250.83894883807</v>
      </c>
      <c r="D21" s="1">
        <f t="shared" si="8"/>
        <v>0.00125083894883807</v>
      </c>
      <c r="E21" s="26">
        <f t="shared" si="1"/>
        <v>0.998749161051162</v>
      </c>
      <c r="F21" s="36"/>
      <c r="G21" s="34">
        <f t="shared" si="2"/>
        <v>1.09723116041688</v>
      </c>
      <c r="H21" s="36"/>
      <c r="I21" s="34">
        <f t="shared" si="3"/>
        <v>1.02027425144066</v>
      </c>
      <c r="J21" s="36"/>
      <c r="K21" s="34">
        <f t="shared" si="4"/>
        <v>1.01289351608765</v>
      </c>
      <c r="L21" s="36"/>
      <c r="M21" s="34">
        <f>(E21*$E$57^($M$4)+D21*$E$46^($M$4))^(1/$M$4)</f>
        <v>1.01278310573938</v>
      </c>
      <c r="N21" s="36"/>
      <c r="O21" s="34">
        <f t="shared" si="9"/>
        <v>1.00415635511348</v>
      </c>
      <c r="P21" s="36"/>
      <c r="R21" s="36"/>
      <c r="T21" s="36"/>
      <c r="U21" s="34">
        <f>$Y$4</f>
        <v>0</v>
      </c>
      <c r="V21" s="34">
        <f>$E$46*(1-D21*(1+$Y$4))+$E$57*(2+D21*(1+$Y$4))</f>
        <v>80.2077259892231</v>
      </c>
      <c r="W21" s="34">
        <f t="shared" si="5"/>
        <v>-0.290236086643724</v>
      </c>
      <c r="X21" s="34">
        <f t="shared" si="10"/>
        <v>0.00361855523347864</v>
      </c>
      <c r="Y21" s="34">
        <f t="shared" si="11"/>
        <v>1.00415635511348</v>
      </c>
      <c r="Z21" s="36"/>
      <c r="AA21" s="72">
        <f t="shared" si="6"/>
        <v>-7.67851156969053e-6</v>
      </c>
      <c r="AB21" s="34">
        <f t="shared" si="7"/>
        <v>40.8868533498509</v>
      </c>
      <c r="AC21" s="24">
        <f t="shared" si="12"/>
        <v>33.8386268201</v>
      </c>
      <c r="AD21" s="34">
        <f t="shared" si="13"/>
        <v>1.00415641554646</v>
      </c>
      <c r="AE21" s="36"/>
      <c r="AF21" s="1">
        <f t="shared" si="14"/>
        <v>33.8386268200999</v>
      </c>
      <c r="AG21" s="1">
        <f t="shared" si="15"/>
        <v>1.00415510694717</v>
      </c>
    </row>
    <row r="22" ht="12.75" spans="1:33">
      <c r="A22" s="25">
        <v>5</v>
      </c>
      <c r="B22" s="36"/>
      <c r="C22">
        <f t="shared" si="0"/>
        <v>1563.54868604759</v>
      </c>
      <c r="D22" s="1">
        <f t="shared" si="8"/>
        <v>0.00156354868604759</v>
      </c>
      <c r="E22" s="26">
        <f t="shared" si="1"/>
        <v>0.998436451313952</v>
      </c>
      <c r="F22" s="36"/>
      <c r="G22" s="34">
        <f t="shared" si="2"/>
        <v>1.1214045005511</v>
      </c>
      <c r="H22" s="36"/>
      <c r="I22" s="34">
        <f t="shared" si="3"/>
        <v>1.0252384834735</v>
      </c>
      <c r="J22" s="36"/>
      <c r="K22" s="34">
        <f t="shared" si="4"/>
        <v>1.01599825783827</v>
      </c>
      <c r="L22" s="36"/>
      <c r="M22" s="34">
        <f>(E22*$E$57^($M$4)+D22*$E$46^($M$4))^(1/$M$4)</f>
        <v>1.01586004224691</v>
      </c>
      <c r="N22" s="36"/>
      <c r="O22" s="34">
        <f t="shared" si="9"/>
        <v>1.00506235755197</v>
      </c>
      <c r="P22" s="36"/>
      <c r="R22" s="36"/>
      <c r="T22" s="36"/>
      <c r="U22" s="34">
        <f>$Y$4</f>
        <v>0</v>
      </c>
      <c r="V22" s="34">
        <f>$E$46*(1-D22*(1+$Y$4))+$E$57*(2+D22*(1+$Y$4))</f>
        <v>80.1835526490889</v>
      </c>
      <c r="W22" s="34">
        <f t="shared" si="5"/>
        <v>-0.362795108304655</v>
      </c>
      <c r="X22" s="34">
        <f t="shared" si="10"/>
        <v>0.00452455767197511</v>
      </c>
      <c r="Y22" s="34">
        <f t="shared" si="11"/>
        <v>1.00506235755198</v>
      </c>
      <c r="Z22" s="36"/>
      <c r="AA22" s="72">
        <f t="shared" si="6"/>
        <v>-7.69200391660264e-6</v>
      </c>
      <c r="AB22" s="34">
        <f t="shared" si="7"/>
        <v>40.8868758888429</v>
      </c>
      <c r="AC22" s="24">
        <f t="shared" si="12"/>
        <v>41.202021213456</v>
      </c>
      <c r="AD22" s="34">
        <f t="shared" si="13"/>
        <v>1.00506239400312</v>
      </c>
      <c r="AE22" s="36"/>
      <c r="AF22" s="1">
        <f t="shared" si="14"/>
        <v>41.2020212134559</v>
      </c>
      <c r="AG22" s="1">
        <f t="shared" si="15"/>
        <v>1.00506079689202</v>
      </c>
    </row>
    <row r="23" ht="12.75" spans="1:33">
      <c r="A23" s="25">
        <v>6</v>
      </c>
      <c r="B23" s="36"/>
      <c r="C23">
        <f t="shared" si="0"/>
        <v>1876.2584232571</v>
      </c>
      <c r="D23" s="1">
        <f t="shared" si="8"/>
        <v>0.0018762584232571</v>
      </c>
      <c r="E23" s="26">
        <f t="shared" si="1"/>
        <v>0.998123741576743</v>
      </c>
      <c r="F23" s="36"/>
      <c r="G23" s="34">
        <f t="shared" si="2"/>
        <v>1.14557784068532</v>
      </c>
      <c r="H23" s="36"/>
      <c r="I23" s="34">
        <f t="shared" si="3"/>
        <v>1.03021476316341</v>
      </c>
      <c r="J23" s="36"/>
      <c r="K23" s="34">
        <f t="shared" si="4"/>
        <v>1.01910933759357</v>
      </c>
      <c r="L23" s="36"/>
      <c r="M23" s="34">
        <f>(E23*$E$57^($M$4)+D23*$E$46^($M$4))^(1/$M$4)</f>
        <v>1.01894323567119</v>
      </c>
      <c r="N23" s="36"/>
      <c r="O23" s="34">
        <f t="shared" si="9"/>
        <v>1.00596890642946</v>
      </c>
      <c r="P23" s="36"/>
      <c r="R23" s="36"/>
      <c r="T23" s="36"/>
      <c r="U23" s="34">
        <f>$Y$4</f>
        <v>0</v>
      </c>
      <c r="V23" s="34">
        <f>$E$46*(1-D23*(1+$Y$4))+$E$57*(2+D23*(1+$Y$4))</f>
        <v>80.1593793089547</v>
      </c>
      <c r="W23" s="34">
        <f t="shared" si="5"/>
        <v>-0.435354129965586</v>
      </c>
      <c r="X23" s="34">
        <f t="shared" si="10"/>
        <v>0.00543110654946092</v>
      </c>
      <c r="Y23" s="34">
        <f t="shared" si="11"/>
        <v>1.00596890642946</v>
      </c>
      <c r="Z23" s="36"/>
      <c r="AA23" s="72">
        <f t="shared" si="6"/>
        <v>-7.70548630620226e-6</v>
      </c>
      <c r="AB23" s="34">
        <f t="shared" si="7"/>
        <v>40.8868984112137</v>
      </c>
      <c r="AC23" s="24">
        <f t="shared" si="12"/>
        <v>48.5654156068118</v>
      </c>
      <c r="AD23" s="34">
        <f t="shared" si="13"/>
        <v>1.00596892006283</v>
      </c>
      <c r="AE23" s="36"/>
      <c r="AF23" s="1">
        <f t="shared" si="14"/>
        <v>48.5654156068119</v>
      </c>
      <c r="AG23" s="1">
        <f t="shared" si="15"/>
        <v>1.00596703309471</v>
      </c>
    </row>
    <row r="24" ht="12.75" spans="1:33">
      <c r="A24" s="25">
        <v>7</v>
      </c>
      <c r="B24" s="36"/>
      <c r="C24">
        <f t="shared" si="0"/>
        <v>2188.96816046662</v>
      </c>
      <c r="D24" s="1">
        <f t="shared" si="8"/>
        <v>0.00218896816046662</v>
      </c>
      <c r="E24" s="26">
        <f t="shared" si="1"/>
        <v>0.997811031839533</v>
      </c>
      <c r="F24" s="36"/>
      <c r="G24" s="34">
        <f t="shared" si="2"/>
        <v>1.16975118081954</v>
      </c>
      <c r="H24" s="36"/>
      <c r="I24" s="34">
        <f t="shared" si="3"/>
        <v>1.03520309051039</v>
      </c>
      <c r="J24" s="36"/>
      <c r="K24" s="34">
        <f t="shared" si="4"/>
        <v>1.02222676181613</v>
      </c>
      <c r="L24" s="36"/>
      <c r="M24" s="34">
        <f>(E24*$E$57^($M$4)+D24*$E$46^($M$4))^(1/$M$4)</f>
        <v>1.02203269246239</v>
      </c>
      <c r="N24" s="36"/>
      <c r="O24" s="34">
        <f t="shared" si="9"/>
        <v>1.00687600224045</v>
      </c>
      <c r="P24" s="36"/>
      <c r="R24" s="36"/>
      <c r="T24" s="36"/>
      <c r="U24" s="34">
        <f>$Y$4</f>
        <v>0</v>
      </c>
      <c r="V24" s="34">
        <f>$E$46*(1-D24*(1+$Y$4))+$E$57*(2+D24*(1+$Y$4))</f>
        <v>80.1352059688204</v>
      </c>
      <c r="W24" s="34">
        <f t="shared" si="5"/>
        <v>-0.507913151626517</v>
      </c>
      <c r="X24" s="34">
        <f t="shared" si="10"/>
        <v>0.00633820236044741</v>
      </c>
      <c r="Y24" s="34">
        <f t="shared" si="11"/>
        <v>1.00687600224045</v>
      </c>
      <c r="Z24" s="36"/>
      <c r="AA24" s="72">
        <f t="shared" si="6"/>
        <v>-7.71895873848941e-6</v>
      </c>
      <c r="AB24" s="34">
        <f t="shared" si="7"/>
        <v>40.8869209169633</v>
      </c>
      <c r="AC24" s="24">
        <f t="shared" si="12"/>
        <v>55.9288100001679</v>
      </c>
      <c r="AD24" s="34">
        <f t="shared" si="13"/>
        <v>1.00687599422113</v>
      </c>
      <c r="AE24" s="36"/>
      <c r="AF24" s="1">
        <f t="shared" si="14"/>
        <v>55.9288100001679</v>
      </c>
      <c r="AG24" s="1">
        <f t="shared" si="15"/>
        <v>1.00687381604959</v>
      </c>
    </row>
    <row r="25" ht="12.75" spans="1:33">
      <c r="A25" s="25">
        <v>8</v>
      </c>
      <c r="B25" s="36"/>
      <c r="C25">
        <f t="shared" si="0"/>
        <v>2501.67789767614</v>
      </c>
      <c r="D25" s="1">
        <f t="shared" si="8"/>
        <v>0.00250167789767614</v>
      </c>
      <c r="E25" s="26">
        <f t="shared" si="1"/>
        <v>0.997498322102324</v>
      </c>
      <c r="F25" s="36"/>
      <c r="G25" s="34">
        <f t="shared" si="2"/>
        <v>1.19392452095376</v>
      </c>
      <c r="H25" s="36"/>
      <c r="I25" s="34">
        <f t="shared" si="3"/>
        <v>1.04020346551444</v>
      </c>
      <c r="J25" s="36"/>
      <c r="K25" s="34">
        <f t="shared" si="4"/>
        <v>1.02535053696854</v>
      </c>
      <c r="L25" s="36"/>
      <c r="M25" s="34">
        <f>(E25*$E$57^($M$4)+D25*$E$46^($M$4))^(1/$M$4)</f>
        <v>1.02512841907089</v>
      </c>
      <c r="N25" s="36"/>
      <c r="O25" s="34">
        <f t="shared" si="9"/>
        <v>1.00778364548004</v>
      </c>
      <c r="P25" s="36"/>
      <c r="R25" s="36"/>
      <c r="T25" s="36"/>
      <c r="U25" s="34">
        <f>$Y$4</f>
        <v>0</v>
      </c>
      <c r="V25" s="34">
        <f>$E$46*(1-D25*(1+$Y$4))+$E$57*(2+D25*(1+$Y$4))</f>
        <v>80.1110326286862</v>
      </c>
      <c r="W25" s="34">
        <f t="shared" si="5"/>
        <v>-0.580472173287448</v>
      </c>
      <c r="X25" s="34">
        <f t="shared" si="10"/>
        <v>0.00724584560004276</v>
      </c>
      <c r="Y25" s="34">
        <f t="shared" si="11"/>
        <v>1.00778364548004</v>
      </c>
      <c r="Z25" s="36"/>
      <c r="AA25" s="72">
        <f t="shared" si="6"/>
        <v>-7.73242121346408e-6</v>
      </c>
      <c r="AB25" s="34">
        <f t="shared" si="7"/>
        <v>40.8869434060916</v>
      </c>
      <c r="AC25" s="24">
        <f t="shared" si="12"/>
        <v>63.2922043935239</v>
      </c>
      <c r="AD25" s="34">
        <f t="shared" si="13"/>
        <v>1.00778361697413</v>
      </c>
      <c r="AE25" s="36"/>
      <c r="AF25" s="1">
        <f t="shared" si="14"/>
        <v>63.2922043935238</v>
      </c>
      <c r="AG25" s="1">
        <f t="shared" si="15"/>
        <v>1.00778114625163</v>
      </c>
    </row>
    <row r="26" ht="12.75" spans="1:33">
      <c r="A26" s="25">
        <v>9</v>
      </c>
      <c r="B26" s="36"/>
      <c r="C26">
        <f t="shared" si="0"/>
        <v>2814.38763488566</v>
      </c>
      <c r="D26" s="1">
        <f t="shared" si="8"/>
        <v>0.00281438763488566</v>
      </c>
      <c r="E26" s="26">
        <f t="shared" si="1"/>
        <v>0.997185612365114</v>
      </c>
      <c r="F26" s="36"/>
      <c r="G26" s="34">
        <f t="shared" si="2"/>
        <v>1.21809786108798</v>
      </c>
      <c r="H26" s="36"/>
      <c r="I26" s="34">
        <f t="shared" si="3"/>
        <v>1.04521588817556</v>
      </c>
      <c r="J26" s="36"/>
      <c r="K26" s="34">
        <f t="shared" si="4"/>
        <v>1.02848066951339</v>
      </c>
      <c r="L26" s="36"/>
      <c r="M26" s="34">
        <f>(E26*$E$57^($M$4)+D26*$E$46^($M$4))^(1/$M$4)</f>
        <v>1.02823042194726</v>
      </c>
      <c r="N26" s="36"/>
      <c r="O26" s="34">
        <f t="shared" si="9"/>
        <v>1.00869183664395</v>
      </c>
      <c r="P26" s="36"/>
      <c r="R26" s="36"/>
      <c r="T26" s="36"/>
      <c r="U26" s="34">
        <f>$Y$4</f>
        <v>0</v>
      </c>
      <c r="V26" s="34">
        <f>$E$46*(1-D26*(1+$Y$4))+$E$57*(2+D26*(1+$Y$4))</f>
        <v>80.086859288552</v>
      </c>
      <c r="W26" s="34">
        <f t="shared" si="5"/>
        <v>-0.653031194948379</v>
      </c>
      <c r="X26" s="34">
        <f t="shared" si="10"/>
        <v>0.00815403676395294</v>
      </c>
      <c r="Y26" s="34">
        <f t="shared" si="11"/>
        <v>1.00869183664395</v>
      </c>
      <c r="Z26" s="36"/>
      <c r="AA26" s="72">
        <f t="shared" si="6"/>
        <v>-7.74587373112627e-6</v>
      </c>
      <c r="AB26" s="34">
        <f t="shared" si="7"/>
        <v>40.8869658785986</v>
      </c>
      <c r="AC26" s="24">
        <f t="shared" si="12"/>
        <v>70.6555987868799</v>
      </c>
      <c r="AD26" s="34">
        <f t="shared" si="13"/>
        <v>1.00869178881856</v>
      </c>
      <c r="AE26" s="36"/>
      <c r="AF26" s="1">
        <f t="shared" si="14"/>
        <v>70.6555987868798</v>
      </c>
      <c r="AG26" s="1">
        <f t="shared" si="15"/>
        <v>1.00868902419636</v>
      </c>
    </row>
    <row r="27" ht="12.75" spans="1:33">
      <c r="A27" s="25">
        <v>10</v>
      </c>
      <c r="B27" s="36"/>
      <c r="C27">
        <f t="shared" si="0"/>
        <v>3127.09737209517</v>
      </c>
      <c r="D27" s="1">
        <f t="shared" si="8"/>
        <v>0.00312709737209517</v>
      </c>
      <c r="E27" s="26">
        <f t="shared" si="1"/>
        <v>0.996872902627905</v>
      </c>
      <c r="F27" s="36"/>
      <c r="G27" s="34">
        <f t="shared" si="2"/>
        <v>1.2422712012222</v>
      </c>
      <c r="H27" s="36"/>
      <c r="I27" s="34">
        <f t="shared" si="3"/>
        <v>1.05024035849374</v>
      </c>
      <c r="J27" s="36"/>
      <c r="K27" s="34">
        <f t="shared" si="4"/>
        <v>1.03161716591328</v>
      </c>
      <c r="L27" s="36"/>
      <c r="M27" s="34">
        <f>(E27*$E$57^($M$4)+D27*$E$46^($M$4))^(1/$M$4)</f>
        <v>1.03133870754225</v>
      </c>
      <c r="N27" s="36"/>
      <c r="O27" s="34">
        <f t="shared" si="9"/>
        <v>1.00960057622848</v>
      </c>
      <c r="P27" s="36"/>
      <c r="R27" s="36"/>
      <c r="T27" s="36"/>
      <c r="U27" s="34">
        <f>$Y$4</f>
        <v>0</v>
      </c>
      <c r="V27" s="34">
        <f>$E$46*(1-D27*(1+$Y$4))+$E$57*(2+D27*(1+$Y$4))</f>
        <v>80.0626859484178</v>
      </c>
      <c r="W27" s="34">
        <f t="shared" si="5"/>
        <v>-0.72559021660931</v>
      </c>
      <c r="X27" s="34">
        <f t="shared" si="10"/>
        <v>0.00906277634848259</v>
      </c>
      <c r="Y27" s="34">
        <f t="shared" si="11"/>
        <v>1.00960057622848</v>
      </c>
      <c r="Z27" s="36"/>
      <c r="AA27" s="72">
        <f t="shared" si="6"/>
        <v>-7.75931629147599e-6</v>
      </c>
      <c r="AB27" s="34">
        <f t="shared" si="7"/>
        <v>40.8871896894827</v>
      </c>
      <c r="AC27" s="24">
        <f t="shared" si="12"/>
        <v>78.0189931802358</v>
      </c>
      <c r="AD27" s="34">
        <f t="shared" si="13"/>
        <v>1.00960055768241</v>
      </c>
      <c r="AE27" s="36"/>
      <c r="AF27" s="1">
        <f t="shared" si="14"/>
        <v>78.0189931802358</v>
      </c>
      <c r="AG27" s="1">
        <f t="shared" si="15"/>
        <v>1.00959745037993</v>
      </c>
    </row>
    <row r="28" ht="12.75" spans="1:33">
      <c r="A28" s="25">
        <v>20</v>
      </c>
      <c r="B28" s="36"/>
      <c r="C28">
        <f t="shared" si="0"/>
        <v>6254.19474419035</v>
      </c>
      <c r="D28" s="1">
        <f t="shared" si="8"/>
        <v>0.00625419474419035</v>
      </c>
      <c r="E28" s="26">
        <f t="shared" si="1"/>
        <v>0.99374580525581</v>
      </c>
      <c r="F28" s="36"/>
      <c r="G28" s="34">
        <f t="shared" si="2"/>
        <v>1.48400460256441</v>
      </c>
      <c r="H28" s="36"/>
      <c r="I28" s="34">
        <f t="shared" si="3"/>
        <v>1.10114768281448</v>
      </c>
      <c r="J28" s="36"/>
      <c r="K28" s="34">
        <f t="shared" si="4"/>
        <v>1.0633335637094</v>
      </c>
      <c r="L28" s="36"/>
      <c r="M28" s="34">
        <f>(E28*$E$57^($M$4)+D28*$E$46^($M$4))^(1/$M$4)</f>
        <v>1.06276853232399</v>
      </c>
      <c r="N28" s="36"/>
      <c r="O28" s="34">
        <f t="shared" si="9"/>
        <v>1.01871824482474</v>
      </c>
      <c r="P28" s="36"/>
      <c r="R28" s="36"/>
      <c r="T28" s="36"/>
      <c r="U28" s="34">
        <f>$Y$4</f>
        <v>0</v>
      </c>
      <c r="V28" s="34">
        <f>$E$46*(1-D28*(1+$Y$4))+$E$57*(2+D28*(1+$Y$4))</f>
        <v>79.8209525470756</v>
      </c>
      <c r="W28" s="34">
        <f t="shared" si="5"/>
        <v>-1.45118043321862</v>
      </c>
      <c r="X28" s="34">
        <f t="shared" si="10"/>
        <v>0.0181804449447376</v>
      </c>
      <c r="Y28" s="34">
        <f t="shared" si="11"/>
        <v>1.01871824482474</v>
      </c>
      <c r="Z28" s="36"/>
      <c r="AA28" s="72">
        <f t="shared" si="6"/>
        <v>-7.89319424278688e-6</v>
      </c>
      <c r="AB28" s="34">
        <f t="shared" si="7"/>
        <v>40.8874118381729</v>
      </c>
      <c r="AC28" s="24">
        <f t="shared" si="12"/>
        <v>151.652937113796</v>
      </c>
      <c r="AD28" s="34">
        <f t="shared" si="13"/>
        <v>1.01871815387237</v>
      </c>
      <c r="AE28" s="36"/>
      <c r="AF28" s="1">
        <f t="shared" si="14"/>
        <v>151.652937113796</v>
      </c>
      <c r="AG28" s="1">
        <f t="shared" si="15"/>
        <v>1.01871197493415</v>
      </c>
    </row>
    <row r="29" ht="12.75" spans="1:33">
      <c r="A29" s="25">
        <v>30</v>
      </c>
      <c r="B29" s="36"/>
      <c r="C29">
        <f t="shared" si="0"/>
        <v>9381.29211628552</v>
      </c>
      <c r="D29" s="1">
        <f t="shared" si="8"/>
        <v>0.00938129211628552</v>
      </c>
      <c r="E29" s="26">
        <f t="shared" si="1"/>
        <v>0.990618707883715</v>
      </c>
      <c r="F29" s="36"/>
      <c r="G29" s="34">
        <f t="shared" si="2"/>
        <v>1.72573800390661</v>
      </c>
      <c r="H29" s="36"/>
      <c r="I29" s="34">
        <f t="shared" si="3"/>
        <v>1.15325977284221</v>
      </c>
      <c r="J29" s="36"/>
      <c r="K29" s="34">
        <f t="shared" si="4"/>
        <v>1.09569345586016</v>
      </c>
      <c r="L29" s="36"/>
      <c r="M29" s="34">
        <f>(E29*$E$57^($M$4)+D29*$E$46^($M$4))^(1/$M$4)</f>
        <v>1.09483372624968</v>
      </c>
      <c r="N29" s="36"/>
      <c r="O29" s="34">
        <f t="shared" si="9"/>
        <v>1.02789130589822</v>
      </c>
      <c r="P29" s="36"/>
      <c r="R29" s="36"/>
      <c r="T29" s="36"/>
      <c r="U29" s="34">
        <f>$Y$4</f>
        <v>0</v>
      </c>
      <c r="V29" s="34">
        <f>$E$46*(1-D29*(1+$Y$4))+$E$57*(2+D29*(1+$Y$4))</f>
        <v>79.5792191457334</v>
      </c>
      <c r="W29" s="34">
        <f t="shared" si="5"/>
        <v>-2.17677064982793</v>
      </c>
      <c r="X29" s="34">
        <f t="shared" si="10"/>
        <v>0.0273535060182183</v>
      </c>
      <c r="Y29" s="34">
        <f t="shared" si="11"/>
        <v>1.02789130589822</v>
      </c>
      <c r="Z29" s="36"/>
      <c r="AA29" s="72">
        <f t="shared" si="6"/>
        <v>-8.02607646285002e-6</v>
      </c>
      <c r="AB29" s="34">
        <f t="shared" si="7"/>
        <v>40.8876323246151</v>
      </c>
      <c r="AC29" s="24">
        <f t="shared" si="12"/>
        <v>225.286881047356</v>
      </c>
      <c r="AD29" s="34">
        <f t="shared" si="13"/>
        <v>1.02789126035041</v>
      </c>
      <c r="AE29" s="36"/>
      <c r="AF29" s="1">
        <f t="shared" si="14"/>
        <v>225.286881047355</v>
      </c>
      <c r="AG29" s="1">
        <f t="shared" si="15"/>
        <v>1.02788187361308</v>
      </c>
    </row>
    <row r="30" ht="12.75" spans="1:33">
      <c r="A30" s="25">
        <v>40</v>
      </c>
      <c r="B30" s="36"/>
      <c r="C30">
        <f t="shared" si="0"/>
        <v>12508.3894883807</v>
      </c>
      <c r="D30" s="1">
        <f t="shared" si="8"/>
        <v>0.0125083894883807</v>
      </c>
      <c r="E30" s="26">
        <f t="shared" si="1"/>
        <v>0.987491610511619</v>
      </c>
      <c r="F30" s="36"/>
      <c r="G30" s="34">
        <f t="shared" si="2"/>
        <v>1.96747140524881</v>
      </c>
      <c r="H30" s="36"/>
      <c r="I30" s="34">
        <f t="shared" si="3"/>
        <v>1.20657662857693</v>
      </c>
      <c r="J30" s="36"/>
      <c r="K30" s="34">
        <f t="shared" si="4"/>
        <v>1.12870330495736</v>
      </c>
      <c r="L30" s="36"/>
      <c r="M30" s="34">
        <f>(E30*$E$57^($M$4)+D30*$E$46^($M$4))^(1/$M$4)</f>
        <v>1.12754074327145</v>
      </c>
      <c r="N30" s="36"/>
      <c r="O30" s="34">
        <f t="shared" si="9"/>
        <v>1.03712026577497</v>
      </c>
      <c r="P30" s="36"/>
      <c r="R30" s="36"/>
      <c r="T30" s="36"/>
      <c r="U30" s="34">
        <f>$Y$4</f>
        <v>0</v>
      </c>
      <c r="V30" s="34">
        <f>$E$46*(1-D30*(1+$Y$4))+$E$57*(2+D30*(1+$Y$4))</f>
        <v>79.3374857443912</v>
      </c>
      <c r="W30" s="34">
        <f t="shared" si="5"/>
        <v>-2.90236086643724</v>
      </c>
      <c r="X30" s="34">
        <f t="shared" si="10"/>
        <v>0.0365824658949748</v>
      </c>
      <c r="Y30" s="34">
        <f t="shared" si="11"/>
        <v>1.03712026577497</v>
      </c>
      <c r="Z30" s="36"/>
      <c r="AA30" s="72">
        <f t="shared" si="6"/>
        <v>-8.15796295166541e-6</v>
      </c>
      <c r="AB30" s="34">
        <f t="shared" si="7"/>
        <v>40.8878511487554</v>
      </c>
      <c r="AC30" s="24">
        <f t="shared" si="12"/>
        <v>298.920824980915</v>
      </c>
      <c r="AD30" s="34">
        <f t="shared" si="13"/>
        <v>1.03712038447531</v>
      </c>
      <c r="AE30" s="36"/>
      <c r="AF30" s="1">
        <f t="shared" si="14"/>
        <v>298.920824980915</v>
      </c>
      <c r="AG30" s="1">
        <f t="shared" si="15"/>
        <v>1.03710765258186</v>
      </c>
    </row>
    <row r="31" ht="12.75" spans="1:33">
      <c r="A31" s="25">
        <v>50</v>
      </c>
      <c r="B31" s="36"/>
      <c r="C31">
        <f t="shared" si="0"/>
        <v>15635.4868604759</v>
      </c>
      <c r="D31" s="1">
        <f t="shared" si="8"/>
        <v>0.0156354868604759</v>
      </c>
      <c r="E31" s="26">
        <f t="shared" si="1"/>
        <v>0.984364513139524</v>
      </c>
      <c r="F31" s="36"/>
      <c r="G31" s="34">
        <f t="shared" si="2"/>
        <v>2.20920480659101</v>
      </c>
      <c r="H31" s="36"/>
      <c r="I31" s="34">
        <f t="shared" si="3"/>
        <v>1.26109825001864</v>
      </c>
      <c r="J31" s="36"/>
      <c r="K31" s="34">
        <f t="shared" si="4"/>
        <v>1.16236957359279</v>
      </c>
      <c r="L31" s="36"/>
      <c r="M31" s="34">
        <f>(E31*$E$57^($M$4)+D31*$E$46^($M$4))^(1/$M$4)</f>
        <v>1.16089603925084</v>
      </c>
      <c r="N31" s="36"/>
      <c r="O31" s="34">
        <f t="shared" si="9"/>
        <v>1.04640563697082</v>
      </c>
      <c r="P31" s="36"/>
      <c r="R31" s="36"/>
      <c r="T31" s="36"/>
      <c r="U31" s="34">
        <f>$Y$4</f>
        <v>0</v>
      </c>
      <c r="V31" s="34">
        <f>$E$46*(1-D31*(1+$Y$4))+$E$57*(2+D31*(1+$Y$4))</f>
        <v>79.095752343049</v>
      </c>
      <c r="W31" s="34">
        <f t="shared" si="5"/>
        <v>-3.62795108304655</v>
      </c>
      <c r="X31" s="34">
        <f t="shared" si="10"/>
        <v>0.0458678370908167</v>
      </c>
      <c r="Y31" s="34">
        <f t="shared" si="11"/>
        <v>1.04640563697082</v>
      </c>
      <c r="Z31" s="36"/>
      <c r="AA31" s="72">
        <f t="shared" si="6"/>
        <v>-8.28885370923305e-6</v>
      </c>
      <c r="AB31" s="34">
        <f t="shared" si="7"/>
        <v>40.8880683105403</v>
      </c>
      <c r="AC31" s="24">
        <f t="shared" si="12"/>
        <v>372.554768914476</v>
      </c>
      <c r="AD31" s="34">
        <f t="shared" si="13"/>
        <v>1.04640603980765</v>
      </c>
      <c r="AE31" s="36"/>
      <c r="AF31" s="1">
        <f t="shared" si="14"/>
        <v>372.554768914475</v>
      </c>
      <c r="AG31" s="1">
        <f t="shared" si="15"/>
        <v>1.04638982419353</v>
      </c>
    </row>
    <row r="32" ht="12.75" spans="1:33">
      <c r="A32" s="25">
        <v>60</v>
      </c>
      <c r="B32" s="36"/>
      <c r="C32">
        <f t="shared" si="0"/>
        <v>18762.584232571</v>
      </c>
      <c r="D32" s="1">
        <f t="shared" si="8"/>
        <v>0.018762584232571</v>
      </c>
      <c r="E32" s="26">
        <f t="shared" si="1"/>
        <v>0.981237415767429</v>
      </c>
      <c r="F32" s="36"/>
      <c r="G32" s="34">
        <f t="shared" si="2"/>
        <v>2.45093820793322</v>
      </c>
      <c r="H32" s="36"/>
      <c r="I32" s="34">
        <f t="shared" si="3"/>
        <v>1.31682463716734</v>
      </c>
      <c r="J32" s="36"/>
      <c r="K32" s="34">
        <f t="shared" si="4"/>
        <v>1.19669872435828</v>
      </c>
      <c r="L32" s="36"/>
      <c r="M32" s="34">
        <f>(E32*$E$57^($M$4)+D32*$E$46^($M$4))^(1/$M$4)</f>
        <v>1.1949060719409</v>
      </c>
      <c r="N32" s="36"/>
      <c r="O32" s="34">
        <f t="shared" si="9"/>
        <v>1.05574793828619</v>
      </c>
      <c r="P32" s="36"/>
      <c r="R32" s="36"/>
      <c r="T32" s="36"/>
      <c r="U32" s="34">
        <f>$Y$4</f>
        <v>0</v>
      </c>
      <c r="V32" s="34">
        <f>$E$46*(1-D32*(1+$Y$4))+$E$57*(2+D32*(1+$Y$4))</f>
        <v>78.8540189417068</v>
      </c>
      <c r="W32" s="34">
        <f t="shared" si="5"/>
        <v>-4.35354129965586</v>
      </c>
      <c r="X32" s="34">
        <f t="shared" si="10"/>
        <v>0.0552101384061888</v>
      </c>
      <c r="Y32" s="34">
        <f t="shared" si="11"/>
        <v>1.05574793828619</v>
      </c>
      <c r="Z32" s="36"/>
      <c r="AA32" s="72">
        <f t="shared" si="6"/>
        <v>-8.41874873555295e-6</v>
      </c>
      <c r="AB32" s="34">
        <f t="shared" si="7"/>
        <v>40.8882838099169</v>
      </c>
      <c r="AC32" s="24">
        <f t="shared" si="12"/>
        <v>446.188712848034</v>
      </c>
      <c r="AD32" s="34">
        <f t="shared" si="13"/>
        <v>1.05574874620488</v>
      </c>
      <c r="AE32" s="36"/>
      <c r="AF32" s="1">
        <f t="shared" si="14"/>
        <v>446.188712848035</v>
      </c>
      <c r="AG32" s="1">
        <f t="shared" si="15"/>
        <v>1.05572890708386</v>
      </c>
    </row>
    <row r="33" ht="12.75" spans="1:33">
      <c r="A33" s="25">
        <v>70</v>
      </c>
      <c r="B33" s="36"/>
      <c r="C33">
        <f t="shared" si="0"/>
        <v>21889.6816046662</v>
      </c>
      <c r="D33" s="1">
        <f t="shared" si="8"/>
        <v>0.0218896816046662</v>
      </c>
      <c r="E33" s="26">
        <f t="shared" si="1"/>
        <v>0.978110318395334</v>
      </c>
      <c r="F33" s="36"/>
      <c r="G33" s="34">
        <f t="shared" si="2"/>
        <v>2.69267160927542</v>
      </c>
      <c r="H33" s="36"/>
      <c r="I33" s="34">
        <f t="shared" si="3"/>
        <v>1.37375579002303</v>
      </c>
      <c r="J33" s="36"/>
      <c r="K33" s="34">
        <f t="shared" si="4"/>
        <v>1.23169721984561</v>
      </c>
      <c r="L33" s="36"/>
      <c r="M33" s="34">
        <f>(E33*$E$57^($M$4)+D33*$E$46^($M$4))^(1/$M$4)</f>
        <v>1.22957730096861</v>
      </c>
      <c r="N33" s="36"/>
      <c r="O33" s="34">
        <f t="shared" si="9"/>
        <v>1.0651476949028</v>
      </c>
      <c r="P33" s="36"/>
      <c r="R33" s="36"/>
      <c r="T33" s="36"/>
      <c r="U33" s="34">
        <f>$Y$4</f>
        <v>0</v>
      </c>
      <c r="V33" s="34">
        <f>$E$46*(1-D33*(1+$Y$4))+$E$57*(2+D33*(1+$Y$4))</f>
        <v>78.6122855403646</v>
      </c>
      <c r="W33" s="34">
        <f t="shared" si="5"/>
        <v>-5.07913151626517</v>
      </c>
      <c r="X33" s="34">
        <f t="shared" si="10"/>
        <v>0.064609895022798</v>
      </c>
      <c r="Y33" s="34">
        <f t="shared" si="11"/>
        <v>1.0651476949028</v>
      </c>
      <c r="Z33" s="36"/>
      <c r="AA33" s="72">
        <f t="shared" si="6"/>
        <v>-8.54764803062509e-6</v>
      </c>
      <c r="AB33" s="34">
        <f t="shared" si="7"/>
        <v>40.8884976468327</v>
      </c>
      <c r="AC33" s="24">
        <f t="shared" si="12"/>
        <v>519.822656781594</v>
      </c>
      <c r="AD33" s="34">
        <f t="shared" si="13"/>
        <v>1.06514902991812</v>
      </c>
      <c r="AE33" s="36"/>
      <c r="AF33" s="1">
        <f t="shared" si="14"/>
        <v>519.822656781594</v>
      </c>
      <c r="AG33" s="1">
        <f t="shared" si="15"/>
        <v>1.06512542626792</v>
      </c>
    </row>
    <row r="34" ht="12.75" spans="1:33">
      <c r="A34" s="25">
        <v>80</v>
      </c>
      <c r="B34" s="36"/>
      <c r="C34">
        <f t="shared" si="0"/>
        <v>25016.7789767614</v>
      </c>
      <c r="D34" s="1">
        <f t="shared" si="8"/>
        <v>0.0250167789767614</v>
      </c>
      <c r="E34" s="26">
        <f t="shared" si="1"/>
        <v>0.974983221023239</v>
      </c>
      <c r="F34" s="36"/>
      <c r="G34" s="34">
        <f t="shared" si="2"/>
        <v>2.93440501061763</v>
      </c>
      <c r="H34" s="36"/>
      <c r="I34" s="34">
        <f t="shared" si="3"/>
        <v>1.43189170858572</v>
      </c>
      <c r="J34" s="36"/>
      <c r="K34" s="34">
        <f t="shared" si="4"/>
        <v>1.26737152264659</v>
      </c>
      <c r="L34" s="36"/>
      <c r="M34" s="34">
        <f>(E34*$E$57^($M$4)+D34*$E$46^($M$4))^(1/$M$4)</f>
        <v>1.26491618781768</v>
      </c>
      <c r="N34" s="36"/>
      <c r="O34" s="34">
        <f t="shared" si="9"/>
        <v>1.07460543848203</v>
      </c>
      <c r="P34" s="36"/>
      <c r="R34" s="36"/>
      <c r="T34" s="36"/>
      <c r="U34" s="34">
        <f>$Y$4</f>
        <v>0</v>
      </c>
      <c r="V34" s="34">
        <f>$E$46*(1-D34*(1+$Y$4))+$E$57*(2+D34*(1+$Y$4))</f>
        <v>78.3705521390224</v>
      </c>
      <c r="W34" s="34">
        <f t="shared" si="5"/>
        <v>-5.80472173287448</v>
      </c>
      <c r="X34" s="34">
        <f t="shared" si="10"/>
        <v>0.0740676386020278</v>
      </c>
      <c r="Y34" s="34">
        <f t="shared" si="11"/>
        <v>1.07460543848203</v>
      </c>
      <c r="Z34" s="36"/>
      <c r="AA34" s="72">
        <f t="shared" si="6"/>
        <v>-8.67555159444949e-6</v>
      </c>
      <c r="AB34" s="34">
        <f t="shared" si="7"/>
        <v>40.8887098212352</v>
      </c>
      <c r="AC34" s="24">
        <f t="shared" si="12"/>
        <v>593.456600715155</v>
      </c>
      <c r="AD34" s="34">
        <f t="shared" si="13"/>
        <v>1.07460742369075</v>
      </c>
      <c r="AE34" s="36"/>
      <c r="AF34" s="1">
        <f t="shared" si="14"/>
        <v>593.456600715154</v>
      </c>
      <c r="AG34" s="1">
        <f t="shared" si="15"/>
        <v>1.0745799132385</v>
      </c>
    </row>
    <row r="35" ht="12.75" spans="1:33">
      <c r="A35" s="25">
        <v>90</v>
      </c>
      <c r="B35" s="36"/>
      <c r="C35">
        <f t="shared" si="0"/>
        <v>28143.8763488566</v>
      </c>
      <c r="D35" s="1">
        <f t="shared" si="8"/>
        <v>0.0281438763488566</v>
      </c>
      <c r="E35" s="26">
        <f t="shared" si="1"/>
        <v>0.971856123651143</v>
      </c>
      <c r="F35" s="36"/>
      <c r="G35" s="34">
        <f t="shared" si="2"/>
        <v>3.17613841195983</v>
      </c>
      <c r="H35" s="36"/>
      <c r="I35" s="34">
        <f t="shared" si="3"/>
        <v>1.49123239285539</v>
      </c>
      <c r="J35" s="36"/>
      <c r="K35" s="34">
        <f t="shared" si="4"/>
        <v>1.30372809535302</v>
      </c>
      <c r="L35" s="36"/>
      <c r="M35" s="34">
        <f>(E35*$E$57^($M$4)+D35*$E$46^($M$4))^(1/$M$4)</f>
        <v>1.3009291958116</v>
      </c>
      <c r="N35" s="36"/>
      <c r="O35" s="34">
        <f t="shared" si="9"/>
        <v>1.08412170726518</v>
      </c>
      <c r="P35" s="36"/>
      <c r="R35" s="36"/>
      <c r="T35" s="36"/>
      <c r="U35" s="34">
        <f>$Y$4</f>
        <v>0</v>
      </c>
      <c r="V35" s="34">
        <f>$E$46*(1-D35*(1+$Y$4))+$E$57*(2+D35*(1+$Y$4))</f>
        <v>78.1288187376802</v>
      </c>
      <c r="W35" s="34">
        <f t="shared" si="5"/>
        <v>-6.53031194948379</v>
      </c>
      <c r="X35" s="34">
        <f t="shared" si="10"/>
        <v>0.0835839073851802</v>
      </c>
      <c r="Y35" s="34">
        <f t="shared" si="11"/>
        <v>1.08412170726518</v>
      </c>
      <c r="Z35" s="36"/>
      <c r="AA35" s="72">
        <f t="shared" si="6"/>
        <v>-8.80245942702614e-6</v>
      </c>
      <c r="AB35" s="34">
        <f t="shared" si="7"/>
        <v>40.8889203330728</v>
      </c>
      <c r="AC35" s="24">
        <f t="shared" si="12"/>
        <v>667.090544648715</v>
      </c>
      <c r="AD35" s="34">
        <f t="shared" si="13"/>
        <v>1.08412446685884</v>
      </c>
      <c r="AE35" s="36"/>
      <c r="AF35" s="1">
        <f t="shared" si="14"/>
        <v>667.090544648714</v>
      </c>
      <c r="AG35" s="1">
        <f t="shared" si="15"/>
        <v>1.08409290606633</v>
      </c>
    </row>
    <row r="36" ht="12.75" spans="1:33">
      <c r="A36" s="25">
        <v>100</v>
      </c>
      <c r="B36" s="36"/>
      <c r="C36">
        <f t="shared" si="0"/>
        <v>31270.9737209517</v>
      </c>
      <c r="D36" s="1">
        <f t="shared" si="8"/>
        <v>0.0312709737209517</v>
      </c>
      <c r="E36" s="26">
        <f t="shared" si="1"/>
        <v>0.968729026279048</v>
      </c>
      <c r="F36" s="36"/>
      <c r="G36" s="34">
        <f t="shared" si="2"/>
        <v>3.41787181330203</v>
      </c>
      <c r="H36" s="36"/>
      <c r="I36" s="34">
        <f t="shared" si="3"/>
        <v>1.55177784283205</v>
      </c>
      <c r="J36" s="36"/>
      <c r="K36" s="34">
        <f t="shared" si="4"/>
        <v>1.34077340055671</v>
      </c>
      <c r="L36" s="36"/>
      <c r="M36" s="34">
        <f>(E36*$E$57^($M$4)+D36*$E$46^($M$4))^(1/$M$4)</f>
        <v>1.33762279009704</v>
      </c>
      <c r="N36" s="36"/>
      <c r="O36" s="34">
        <f t="shared" si="9"/>
        <v>1.09369704617558</v>
      </c>
      <c r="P36" s="36"/>
      <c r="R36" s="36"/>
      <c r="T36" s="36"/>
      <c r="U36" s="34">
        <f>$Y$4</f>
        <v>0</v>
      </c>
      <c r="V36" s="34">
        <f>$E$46*(1-D36*(1+$Y$4))+$E$57*(2+D36*(1+$Y$4))</f>
        <v>77.887085336338</v>
      </c>
      <c r="W36" s="34">
        <f t="shared" si="5"/>
        <v>-7.2559021660931</v>
      </c>
      <c r="X36" s="34">
        <f t="shared" si="10"/>
        <v>0.0931592462955843</v>
      </c>
      <c r="Y36" s="34">
        <f t="shared" si="11"/>
        <v>1.09369704617558</v>
      </c>
      <c r="Z36" s="36"/>
      <c r="AA36" s="72">
        <f t="shared" si="6"/>
        <v>-8.92837152835504e-6</v>
      </c>
      <c r="AB36" s="34">
        <f t="shared" si="7"/>
        <v>40.8739984023044</v>
      </c>
      <c r="AC36" s="24">
        <f t="shared" si="12"/>
        <v>740.724488582273</v>
      </c>
      <c r="AD36" s="34">
        <f t="shared" si="13"/>
        <v>1.09366494950212</v>
      </c>
      <c r="AE36" s="36"/>
      <c r="AF36" s="1">
        <f t="shared" si="14"/>
        <v>740.724488582274</v>
      </c>
      <c r="AG36" s="1">
        <f t="shared" si="15"/>
        <v>1.09366494950212</v>
      </c>
    </row>
    <row r="37" ht="12.75" spans="1:31">
      <c r="A37" s="36"/>
      <c r="B37" s="36"/>
      <c r="C37" s="36"/>
      <c r="D37" s="37"/>
      <c r="E37" s="36"/>
      <c r="F37" s="36"/>
      <c r="G37" s="45"/>
      <c r="H37" s="36"/>
      <c r="I37" s="36"/>
      <c r="J37" s="36"/>
      <c r="K37" s="36"/>
      <c r="L37" s="36"/>
      <c r="M37" s="36"/>
      <c r="N37" s="36"/>
      <c r="O37" s="45"/>
      <c r="P37" s="36"/>
      <c r="Q37" s="45"/>
      <c r="R37" s="36"/>
      <c r="S37" s="45"/>
      <c r="T37" s="36"/>
      <c r="U37" s="45"/>
      <c r="V37" s="45"/>
      <c r="W37" s="45"/>
      <c r="X37" s="45"/>
      <c r="Y37" s="45"/>
      <c r="Z37" s="36"/>
      <c r="AA37" s="36"/>
      <c r="AB37" s="67"/>
      <c r="AC37" s="36"/>
      <c r="AD37" s="36"/>
      <c r="AE37" s="36"/>
    </row>
    <row r="39" ht="21.55" customHeight="1" spans="1:32">
      <c r="A39" s="51" t="s">
        <v>36</v>
      </c>
      <c r="B39" s="51"/>
      <c r="C39" s="51"/>
      <c r="D39" s="51"/>
      <c r="E39" s="51"/>
      <c r="AA39" s="73" t="s">
        <v>37</v>
      </c>
      <c r="AB39" s="74">
        <v>3.96</v>
      </c>
      <c r="AF39">
        <v>3.96</v>
      </c>
    </row>
    <row r="40" ht="21.55" customHeight="1" spans="1:32">
      <c r="A40" s="52" t="s">
        <v>38</v>
      </c>
      <c r="B40" s="52"/>
      <c r="C40" s="52"/>
      <c r="D40" s="52"/>
      <c r="E40" s="53">
        <v>101325</v>
      </c>
      <c r="M40" s="27"/>
      <c r="AA40" s="73" t="s">
        <v>39</v>
      </c>
      <c r="AB40" s="74">
        <v>20770</v>
      </c>
      <c r="AF40">
        <v>20770</v>
      </c>
    </row>
    <row r="41" ht="21.55" customHeight="1" spans="1:32">
      <c r="A41" s="52" t="s">
        <v>40</v>
      </c>
      <c r="B41" s="52"/>
      <c r="C41" s="52"/>
      <c r="D41" s="52"/>
      <c r="E41" s="1">
        <f>E40/101325</f>
        <v>1</v>
      </c>
      <c r="AA41" s="73" t="s">
        <v>41</v>
      </c>
      <c r="AB41" s="75">
        <f>AB39+AB40/E43</f>
        <v>73.6229213483146</v>
      </c>
      <c r="AC41" s="54">
        <f>3.84+2.092*10000/E43</f>
        <v>74.0060238135167</v>
      </c>
      <c r="AF41">
        <v>73.6229213483146</v>
      </c>
    </row>
    <row r="42" ht="21.55" customHeight="1" spans="1:5">
      <c r="A42" s="52" t="s">
        <v>42</v>
      </c>
      <c r="B42" s="52"/>
      <c r="C42" s="52"/>
      <c r="D42" s="52"/>
      <c r="E42" s="53">
        <v>25</v>
      </c>
    </row>
    <row r="43" ht="21.55" customHeight="1" spans="1:13">
      <c r="A43" s="52" t="s">
        <v>43</v>
      </c>
      <c r="B43" s="52"/>
      <c r="C43" s="52"/>
      <c r="D43" s="52"/>
      <c r="E43" s="54">
        <f>E42+273.15</f>
        <v>298.15</v>
      </c>
      <c r="M43" s="54">
        <f>1000/E43</f>
        <v>3.35401643468053</v>
      </c>
    </row>
    <row r="44" ht="21.55" customHeight="1"/>
    <row r="45" ht="21.55" customHeight="1" spans="1:5">
      <c r="A45" s="52" t="s">
        <v>44</v>
      </c>
      <c r="B45" s="52"/>
      <c r="C45" s="52"/>
      <c r="D45" s="52"/>
      <c r="E45">
        <f>0.61121*EXP(((18.678-E42/234.5)*(E42/(257.14+E42))))/101.325</f>
        <v>0.0312709737209517</v>
      </c>
    </row>
    <row r="46" ht="21.55" customHeight="1" spans="1:13">
      <c r="A46" s="52" t="s">
        <v>45</v>
      </c>
      <c r="B46" s="52"/>
      <c r="C46" s="52"/>
      <c r="D46" s="52"/>
      <c r="E46" s="55">
        <f>87.74-0.40008*E42+9.398*0.0001*E42^2-1.41*0.000001*E42^3</f>
        <v>78.30334375</v>
      </c>
      <c r="M46" s="55"/>
    </row>
    <row r="47" ht="21.55" customHeight="1" spans="1:5">
      <c r="A47" s="52" t="s">
        <v>46</v>
      </c>
      <c r="B47" s="52"/>
      <c r="C47" s="52"/>
      <c r="D47" s="52"/>
      <c r="E47" s="56">
        <f>(($E$46-1)/($E$46+2))*(($E$60*$E$43/$E$40)*1000000)</f>
        <v>23551.4432862675</v>
      </c>
    </row>
    <row r="48" ht="21.55" customHeight="1" spans="27:28">
      <c r="AA48" s="73" t="s">
        <v>47</v>
      </c>
      <c r="AB48" s="77">
        <f>(34.9568-6687.72/(E43)-2101410/(E43^2)+92474600/(E43^3))*0.000001</f>
        <v>-7.62444260891735e-6</v>
      </c>
    </row>
    <row r="49" ht="21.55" customHeight="1" spans="1:28">
      <c r="A49" s="57" t="s">
        <v>48</v>
      </c>
      <c r="B49" s="57"/>
      <c r="C49" s="57"/>
      <c r="D49" s="57"/>
      <c r="E49" s="55">
        <f>(1.7037*1E-30+3.01*1E-34*E43-2*1E-37*E43^2)*1E+30</f>
        <v>1.7756644655</v>
      </c>
      <c r="AA49" s="73" t="s">
        <v>49</v>
      </c>
      <c r="AB49" s="77">
        <f>E60*E43*(0.000000007-0.00000000147184*EXP(1734.29/E43))*0.000001</f>
        <v>-1.20825185243785e-9</v>
      </c>
    </row>
    <row r="50" ht="21.55" customHeight="1" spans="1:28">
      <c r="A50" s="52" t="s">
        <v>50</v>
      </c>
      <c r="B50" s="52"/>
      <c r="C50" s="52"/>
      <c r="D50" s="52"/>
      <c r="E50" s="55">
        <f>(1.5343*1E-30+2.88*1E-34*E43-1.63*1E-37*E43^2)*1E+30</f>
        <v>1.6056775721325</v>
      </c>
      <c r="AA50" s="73" t="s">
        <v>51</v>
      </c>
      <c r="AB50" s="77">
        <f>(32.366097-14113.8/(E43)-1244535/(E43^2)-2348789000/(E43^4))*0.000001</f>
        <v>-2.92693631333802e-5</v>
      </c>
    </row>
    <row r="51" ht="21.55" customHeight="1" spans="1:5">
      <c r="A51" s="52" t="s">
        <v>52</v>
      </c>
      <c r="B51" s="52"/>
      <c r="C51" s="52"/>
      <c r="D51" s="52"/>
      <c r="E51" s="55">
        <f>(1.62526*1E-30+1.649*1E-34*E43)*1E+30</f>
        <v>1.674424935</v>
      </c>
    </row>
    <row r="52" ht="21.55" customHeight="1" spans="1:28">
      <c r="A52" s="57" t="s">
        <v>53</v>
      </c>
      <c r="B52" s="57"/>
      <c r="C52" s="57"/>
      <c r="D52" s="57"/>
      <c r="E52" s="1">
        <v>0.780818</v>
      </c>
      <c r="AA52" s="78"/>
      <c r="AB52" s="79"/>
    </row>
    <row r="53" ht="21.55" customHeight="1" spans="1:28">
      <c r="A53" s="52" t="s">
        <v>54</v>
      </c>
      <c r="B53" s="52"/>
      <c r="C53" s="52"/>
      <c r="D53" s="52"/>
      <c r="E53" s="1">
        <v>0.209435</v>
      </c>
      <c r="AA53" s="78"/>
      <c r="AB53" s="79"/>
    </row>
    <row r="54" ht="21.55" customHeight="1" spans="1:28">
      <c r="A54" s="52" t="s">
        <v>55</v>
      </c>
      <c r="B54" s="52"/>
      <c r="C54" s="52"/>
      <c r="D54" s="52"/>
      <c r="E54" s="1">
        <v>0.009332</v>
      </c>
      <c r="AA54">
        <v>1.501</v>
      </c>
      <c r="AB54" s="80" t="s">
        <v>56</v>
      </c>
    </row>
    <row r="55" ht="21.55" customHeight="1" spans="1:28">
      <c r="A55" s="58" t="s">
        <v>57</v>
      </c>
      <c r="B55" s="58"/>
      <c r="C55" s="58"/>
      <c r="D55" s="58"/>
      <c r="E55" s="1">
        <f>E52*E49+E53*E50+E54*E51</f>
        <v>1.73838159243577</v>
      </c>
      <c r="AA55">
        <f>AA54/1E+24</f>
        <v>1.501e-24</v>
      </c>
      <c r="AB55" s="27">
        <f>AB54^2/(3*E62*E43)</f>
        <v>2.78643217842878e-38</v>
      </c>
    </row>
    <row r="56" ht="21.55" customHeight="1" spans="1:25">
      <c r="A56" s="58" t="s">
        <v>58</v>
      </c>
      <c r="B56" s="58"/>
      <c r="C56" s="58"/>
      <c r="D56" s="58"/>
      <c r="E56" s="1">
        <f>1E-24*4*PI()*E55*E61/3</f>
        <v>4.38504924667602</v>
      </c>
      <c r="Y56" s="1">
        <f>(4*PI()/3)*(E61)*(AA55+AB55)</f>
        <v>3.78625668144494</v>
      </c>
    </row>
    <row r="57" ht="21.55" customHeight="1" spans="1:25">
      <c r="A57" s="52" t="s">
        <v>59</v>
      </c>
      <c r="B57" s="52"/>
      <c r="C57" s="52"/>
      <c r="D57" s="52"/>
      <c r="E57" s="30">
        <f>(2*(E40/(E60*E43))*E56*0.000001+1)/(1-(E40/(E60*E43)*E56*0.000001))</f>
        <v>1.00053779988</v>
      </c>
      <c r="Y57" s="30">
        <f>(2*(E40/(E60*E43))*Y56*0.000001+1)/(1-(E40/(E60*E43)*Y56*0.000001))</f>
        <v>1.00046435021123</v>
      </c>
    </row>
    <row r="58" ht="21.55" customHeight="1"/>
    <row r="59" ht="21.55" customHeight="1" spans="1:5">
      <c r="A59" s="52" t="s">
        <v>60</v>
      </c>
      <c r="B59" s="52"/>
      <c r="C59" s="52"/>
      <c r="D59" s="52"/>
      <c r="E59" s="59">
        <v>8.8542e-12</v>
      </c>
    </row>
    <row r="60" ht="21.55" customHeight="1" spans="1:5">
      <c r="A60" s="52" t="s">
        <v>61</v>
      </c>
      <c r="B60" s="52"/>
      <c r="C60" s="52"/>
      <c r="D60" s="52"/>
      <c r="E60">
        <v>8.314472</v>
      </c>
    </row>
    <row r="61" ht="21.55" customHeight="1" spans="1:5">
      <c r="A61" s="52" t="s">
        <v>62</v>
      </c>
      <c r="B61" s="52"/>
      <c r="C61" s="52"/>
      <c r="D61" s="52"/>
      <c r="E61" s="59">
        <v>6.022e+23</v>
      </c>
    </row>
    <row r="62" ht="21.55" customHeight="1" spans="1:5">
      <c r="A62" s="52" t="s">
        <v>63</v>
      </c>
      <c r="B62" s="52"/>
      <c r="C62" s="52"/>
      <c r="D62" s="52"/>
      <c r="E62" s="27">
        <v>1.380649e-23</v>
      </c>
    </row>
    <row r="70" ht="102" spans="27:27">
      <c r="AA70" s="81" t="s">
        <v>64</v>
      </c>
    </row>
    <row r="71" ht="114.75" spans="27:27">
      <c r="AA71" s="81" t="s">
        <v>65</v>
      </c>
    </row>
    <row r="72" ht="12.75"/>
    <row r="73" ht="12.75"/>
    <row r="74" ht="76.5" spans="27:27">
      <c r="AA74" s="82" t="s">
        <v>66</v>
      </c>
    </row>
    <row r="75" ht="12.75"/>
    <row r="76" ht="12.75"/>
    <row r="77" ht="12.75"/>
    <row r="78" ht="12.75"/>
  </sheetData>
  <autoFilter xmlns:etc="http://www.wps.cn/officeDocument/2017/etCustomData" ref="A8:A36" etc:filterBottomFollowUsedRange="0">
    <extLst/>
  </autoFilter>
  <mergeCells count="27">
    <mergeCell ref="G2:M2"/>
    <mergeCell ref="O2:Y2"/>
    <mergeCell ref="AA2:AD2"/>
    <mergeCell ref="U3:Y3"/>
    <mergeCell ref="AA3:AD3"/>
    <mergeCell ref="A5:D5"/>
    <mergeCell ref="A39:E39"/>
    <mergeCell ref="A40:D40"/>
    <mergeCell ref="A41:D41"/>
    <mergeCell ref="A42:D42"/>
    <mergeCell ref="A43:D43"/>
    <mergeCell ref="A45:D45"/>
    <mergeCell ref="A46:D46"/>
    <mergeCell ref="A47:D47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9:D59"/>
    <mergeCell ref="A60:D60"/>
    <mergeCell ref="A61:D61"/>
    <mergeCell ref="A62:D62"/>
  </mergeCells>
  <hyperlinks>
    <hyperlink ref="AA70" r:id="rId13" display="Sci-Hub | The Dielectric Constant of Water Vapor in the Microwave Region. Journal of Applied Physics, 23(2), 220–223 | 10.1063/1.1702178 "/>
    <hyperlink ref="AA71" r:id="rId14" display="Sci-Hub | Automatic digital microwave hygrometer. Review of Scientific Instruments, 46(7), 867 | 10.1063/1.1134331 "/>
    <hyperlink ref="AA74" r:id="rId15" display="*Thermodynamic Properties of Moist Air Containing 1000 to 5000 PPMv of Water Vapor "/>
  </hyperlinks>
  <pageMargins left="0.7875" right="0.7875" top="1.025" bottom="1.025" header="0.7875" footer="0.7875"/>
  <pageSetup paperSize="1" orientation="portrait" useFirstPageNumber="1" horizontalDpi="300" verticalDpi="300"/>
  <headerFooter>
    <oddHeader>&amp;C&amp;A</oddHeader>
    <oddFooter>&amp;CPage &amp;P</oddFooter>
  </headerFooter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tabSelected="1" workbookViewId="0">
      <selection activeCell="H6" sqref="H6"/>
    </sheetView>
  </sheetViews>
  <sheetFormatPr defaultColWidth="9.14285714285714" defaultRowHeight="12.75"/>
  <cols>
    <col min="2" max="2" width="22.8571428571429" style="30" customWidth="1"/>
    <col min="3" max="6" width="12.8571428571429"/>
    <col min="7" max="7" width="14"/>
    <col min="8" max="9" width="12.8571428571429"/>
    <col min="16" max="16" width="13"/>
    <col min="17" max="17" width="12.8571428571429"/>
    <col min="19" max="19" width="12.8571428571429"/>
  </cols>
  <sheetData>
    <row r="1" spans="3:7"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 spans="4:10">
      <c r="D2" t="s">
        <v>72</v>
      </c>
      <c r="E2" t="s">
        <v>73</v>
      </c>
      <c r="H2" t="s">
        <v>73</v>
      </c>
      <c r="J2" t="s">
        <v>72</v>
      </c>
    </row>
    <row r="3" spans="4:12">
      <c r="D3" s="13" t="s">
        <v>74</v>
      </c>
      <c r="E3" s="13"/>
      <c r="K3" t="s">
        <v>75</v>
      </c>
      <c r="L3" t="s">
        <v>76</v>
      </c>
    </row>
    <row r="4" spans="1:16">
      <c r="A4" t="s">
        <v>18</v>
      </c>
      <c r="B4" s="30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26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</row>
    <row r="5" spans="1:16">
      <c r="A5" s="25">
        <f>'H2O Calculations'!A8</f>
        <v>0</v>
      </c>
      <c r="B5" s="30">
        <f>'H2O Calculations'!AG8</f>
        <v>1.00053779988</v>
      </c>
      <c r="C5" s="26">
        <f>($C$42^2/($C$42/$C$51))+($C$44^2/($C$44/B5))</f>
        <v>3.14687502610819</v>
      </c>
      <c r="D5" s="26">
        <f>$C$51*$D$42+B5*((1-$D$42)^2)/(B5*(1-$D$42-$D$44)+$D$44)</f>
        <v>3.35582527594115</v>
      </c>
      <c r="E5" s="26">
        <f>$C$51*$E$42+B5*((1-$E$42)^2)/(B5*(1-$E$42-$E$44)+$E$44)</f>
        <v>1.14314891408739</v>
      </c>
      <c r="G5">
        <v>3.29577</v>
      </c>
      <c r="H5" s="26">
        <f>$C$51*$H$42+B5*(1-$H$42)^2/(B5*(1-$H$42-$H$44)+$H$44)</f>
        <v>3.35582527594114</v>
      </c>
      <c r="I5">
        <f>120*PI()*$B$51/($H$37*SQRT(H5))</f>
        <v>50.5620195986911</v>
      </c>
      <c r="P5" s="30">
        <f>B5-1</f>
        <v>0.000537799880000023</v>
      </c>
    </row>
    <row r="6" spans="1:16">
      <c r="A6" s="25">
        <f>'H2O Calculations'!A9</f>
        <v>0.1</v>
      </c>
      <c r="B6" s="30">
        <f>'H2O Calculations'!AG9</f>
        <v>1.00062812638563</v>
      </c>
      <c r="C6" s="26">
        <f t="shared" ref="C6:C35" si="0">($C$42^2/($C$42/$C$51))+($C$44^2/($C$44/B6))</f>
        <v>3.14690798516004</v>
      </c>
      <c r="D6" s="26">
        <f t="shared" ref="D6:D35" si="1">$C$51*$D$42+B6*((1-$D$42)^2)/(B6*(1-$D$42-$D$44)+$D$44)</f>
        <v>3.35585265015589</v>
      </c>
      <c r="E6" s="26">
        <f t="shared" ref="E6:E35" si="2">$C$51*$E$42+B6*((1-$E$42)^2)/(B6*(1-$E$42-$E$44)+$E$44)</f>
        <v>1.14314891417522</v>
      </c>
      <c r="H6" s="26">
        <f t="shared" ref="H6:H35" si="3">$C$51*$H$42+B6*(1-$H$42)^2/(B6*(1-$H$42-$H$44)+$H$44)</f>
        <v>3.35585265015589</v>
      </c>
      <c r="I6">
        <f t="shared" ref="I6:I35" si="4">120*PI()*$B$51/($H$37*SQRT(H6))</f>
        <v>50.561813377121</v>
      </c>
      <c r="P6" s="30">
        <f t="shared" ref="P6:P35" si="5">B6-1</f>
        <v>0.000628126385630923</v>
      </c>
    </row>
    <row r="7" spans="1:16">
      <c r="A7" s="25">
        <f>'H2O Calculations'!A10</f>
        <v>0.2</v>
      </c>
      <c r="B7" s="30">
        <f>'H2O Calculations'!AG10</f>
        <v>1.0007184583297</v>
      </c>
      <c r="C7" s="26">
        <f t="shared" si="0"/>
        <v>3.14694094619632</v>
      </c>
      <c r="D7" s="26">
        <f t="shared" si="1"/>
        <v>3.35588002601879</v>
      </c>
      <c r="E7" s="26">
        <f t="shared" si="2"/>
        <v>1.14314891426304</v>
      </c>
      <c r="H7" s="26">
        <f t="shared" si="3"/>
        <v>3.35588002601879</v>
      </c>
      <c r="I7">
        <f t="shared" si="4"/>
        <v>50.5616071456581</v>
      </c>
      <c r="P7" s="30">
        <f t="shared" si="5"/>
        <v>0.000718458329703964</v>
      </c>
    </row>
    <row r="8" spans="1:16">
      <c r="A8" s="25">
        <f>'H2O Calculations'!A11</f>
        <v>0.3</v>
      </c>
      <c r="B8" s="30">
        <f>'H2O Calculations'!AG11</f>
        <v>1.00080879571271</v>
      </c>
      <c r="C8" s="26">
        <f t="shared" si="0"/>
        <v>3.1469739092172</v>
      </c>
      <c r="D8" s="26">
        <f t="shared" si="1"/>
        <v>3.35590740353002</v>
      </c>
      <c r="E8" s="26">
        <f t="shared" si="2"/>
        <v>1.14314891435086</v>
      </c>
      <c r="H8" s="26">
        <f t="shared" si="3"/>
        <v>3.35590740353002</v>
      </c>
      <c r="I8">
        <f t="shared" si="4"/>
        <v>50.5614009043016</v>
      </c>
      <c r="P8" s="30">
        <f t="shared" si="5"/>
        <v>0.000808795712708532</v>
      </c>
    </row>
    <row r="9" spans="1:16">
      <c r="A9" s="25">
        <f>'H2O Calculations'!A12</f>
        <v>0.4</v>
      </c>
      <c r="B9" s="30">
        <f>'H2O Calculations'!AG12</f>
        <v>1.00089913853514</v>
      </c>
      <c r="C9" s="26">
        <f t="shared" si="0"/>
        <v>3.14700687422286</v>
      </c>
      <c r="D9" s="26">
        <f t="shared" si="1"/>
        <v>3.35593478268971</v>
      </c>
      <c r="E9" s="26">
        <f t="shared" si="2"/>
        <v>1.14314891443866</v>
      </c>
      <c r="H9" s="26">
        <f t="shared" si="3"/>
        <v>3.3559347826897</v>
      </c>
      <c r="I9">
        <f t="shared" si="4"/>
        <v>50.5611946530509</v>
      </c>
      <c r="P9" s="30">
        <f t="shared" si="5"/>
        <v>0.000899138535136679</v>
      </c>
    </row>
    <row r="10" spans="1:16">
      <c r="A10" s="25">
        <f>'H2O Calculations'!A13</f>
        <v>0.5</v>
      </c>
      <c r="B10" s="30">
        <f>'H2O Calculations'!AG13</f>
        <v>1.00098948679748</v>
      </c>
      <c r="C10" s="26">
        <f t="shared" si="0"/>
        <v>3.14703984121347</v>
      </c>
      <c r="D10" s="26">
        <f t="shared" si="1"/>
        <v>3.355962163498</v>
      </c>
      <c r="E10" s="26">
        <f t="shared" si="2"/>
        <v>1.14314891452645</v>
      </c>
      <c r="H10" s="26">
        <f t="shared" si="3"/>
        <v>3.355962163498</v>
      </c>
      <c r="I10">
        <f t="shared" si="4"/>
        <v>50.5609883919051</v>
      </c>
      <c r="P10" s="30">
        <f t="shared" si="5"/>
        <v>0.000989486797478456</v>
      </c>
    </row>
    <row r="11" spans="1:16">
      <c r="A11" s="25">
        <f>'H2O Calculations'!A14</f>
        <v>0.6</v>
      </c>
      <c r="B11" s="30">
        <f>'H2O Calculations'!AG14</f>
        <v>1.00107984050023</v>
      </c>
      <c r="C11" s="26">
        <f t="shared" si="0"/>
        <v>3.14707281018923</v>
      </c>
      <c r="D11" s="26">
        <f t="shared" si="1"/>
        <v>3.35598954595506</v>
      </c>
      <c r="E11" s="26">
        <f t="shared" si="2"/>
        <v>1.14314891461423</v>
      </c>
      <c r="H11" s="26">
        <f t="shared" si="3"/>
        <v>3.35598954595506</v>
      </c>
      <c r="I11">
        <f t="shared" si="4"/>
        <v>50.5607821208636</v>
      </c>
      <c r="P11" s="30">
        <f t="shared" si="5"/>
        <v>0.00107984050022614</v>
      </c>
    </row>
    <row r="12" spans="1:16">
      <c r="A12" s="25">
        <f>'H2O Calculations'!A15</f>
        <v>0.7</v>
      </c>
      <c r="B12" s="30">
        <f>'H2O Calculations'!AG15</f>
        <v>1.00117019964387</v>
      </c>
      <c r="C12" s="26">
        <f t="shared" si="0"/>
        <v>3.1471057811503</v>
      </c>
      <c r="D12" s="26">
        <f t="shared" si="1"/>
        <v>3.35601693006103</v>
      </c>
      <c r="E12" s="26">
        <f t="shared" si="2"/>
        <v>1.143148914702</v>
      </c>
      <c r="H12" s="26">
        <f t="shared" si="3"/>
        <v>3.35601693006103</v>
      </c>
      <c r="I12">
        <f t="shared" si="4"/>
        <v>50.5605758399257</v>
      </c>
      <c r="P12" s="30">
        <f t="shared" si="5"/>
        <v>0.00117019964387111</v>
      </c>
    </row>
    <row r="13" spans="1:16">
      <c r="A13" s="25">
        <f>'H2O Calculations'!A16</f>
        <v>0.8</v>
      </c>
      <c r="B13" s="30">
        <f>'H2O Calculations'!AG16</f>
        <v>1.0012605642289</v>
      </c>
      <c r="C13" s="26">
        <f t="shared" si="0"/>
        <v>3.14713875409687</v>
      </c>
      <c r="D13" s="26">
        <f t="shared" si="1"/>
        <v>3.35604431581606</v>
      </c>
      <c r="E13" s="26">
        <f t="shared" si="2"/>
        <v>1.14314891478976</v>
      </c>
      <c r="H13" s="26">
        <f t="shared" si="3"/>
        <v>3.35604431581606</v>
      </c>
      <c r="I13">
        <f t="shared" si="4"/>
        <v>50.5603695490907</v>
      </c>
      <c r="P13" s="30">
        <f t="shared" si="5"/>
        <v>0.00126056422890408</v>
      </c>
    </row>
    <row r="14" spans="1:16">
      <c r="A14" s="25">
        <f>'H2O Calculations'!A17</f>
        <v>0.9</v>
      </c>
      <c r="B14" s="30">
        <f>'H2O Calculations'!AG17</f>
        <v>1.00135093425582</v>
      </c>
      <c r="C14" s="26">
        <f t="shared" si="0"/>
        <v>3.14717172902912</v>
      </c>
      <c r="D14" s="26">
        <f t="shared" si="1"/>
        <v>3.3560717032203</v>
      </c>
      <c r="E14" s="26">
        <f t="shared" si="2"/>
        <v>1.14314891487751</v>
      </c>
      <c r="H14" s="26">
        <f t="shared" si="3"/>
        <v>3.3560717032203</v>
      </c>
      <c r="I14">
        <f t="shared" si="4"/>
        <v>50.5601632483578</v>
      </c>
      <c r="P14" s="30">
        <f t="shared" si="5"/>
        <v>0.00135093425581734</v>
      </c>
    </row>
    <row r="15" spans="1:16">
      <c r="A15" s="25">
        <f>'H2O Calculations'!A18</f>
        <v>1</v>
      </c>
      <c r="B15" s="30">
        <f>'H2O Calculations'!AG18</f>
        <v>1.0014413097251</v>
      </c>
      <c r="C15" s="26">
        <f t="shared" si="0"/>
        <v>3.14720470594722</v>
      </c>
      <c r="D15" s="26">
        <f t="shared" si="1"/>
        <v>3.35609909227389</v>
      </c>
      <c r="E15" s="26">
        <f t="shared" si="2"/>
        <v>1.14314891496525</v>
      </c>
      <c r="H15" s="26">
        <f t="shared" si="3"/>
        <v>3.35609909227389</v>
      </c>
      <c r="I15">
        <f t="shared" si="4"/>
        <v>50.5599569377263</v>
      </c>
      <c r="P15" s="30">
        <f t="shared" si="5"/>
        <v>0.00144130972510226</v>
      </c>
    </row>
    <row r="16" spans="1:16">
      <c r="A16" s="25">
        <f>'H2O Calculations'!A19</f>
        <v>2</v>
      </c>
      <c r="B16" s="30">
        <f>'H2O Calculations'!AG19</f>
        <v>1.00234536385658</v>
      </c>
      <c r="C16" s="26">
        <f t="shared" si="0"/>
        <v>3.14753458438978</v>
      </c>
      <c r="D16" s="26">
        <f t="shared" si="1"/>
        <v>3.35637307355725</v>
      </c>
      <c r="E16" s="26">
        <f t="shared" si="2"/>
        <v>1.14314891584206</v>
      </c>
      <c r="H16" s="26">
        <f t="shared" si="3"/>
        <v>3.35637307355725</v>
      </c>
      <c r="I16">
        <f t="shared" si="4"/>
        <v>50.5578932868312</v>
      </c>
      <c r="P16" s="30">
        <f t="shared" si="5"/>
        <v>0.00234536385658313</v>
      </c>
    </row>
    <row r="17" spans="1:16">
      <c r="A17" s="25">
        <f>'H2O Calculations'!A20</f>
        <v>3</v>
      </c>
      <c r="B17" s="30">
        <f>'H2O Calculations'!AG20</f>
        <v>1.00324996276642</v>
      </c>
      <c r="C17" s="26">
        <f t="shared" si="0"/>
        <v>3.14786466161539</v>
      </c>
      <c r="D17" s="26">
        <f t="shared" si="1"/>
        <v>3.35664721994031</v>
      </c>
      <c r="E17" s="26">
        <f t="shared" si="2"/>
        <v>1.14314891671782</v>
      </c>
      <c r="H17" s="26">
        <f t="shared" si="3"/>
        <v>3.35664721994031</v>
      </c>
      <c r="I17">
        <f t="shared" si="4"/>
        <v>50.5558286452879</v>
      </c>
      <c r="P17" s="30">
        <f t="shared" si="5"/>
        <v>0.00324996276641754</v>
      </c>
    </row>
    <row r="18" spans="1:16">
      <c r="A18" s="25">
        <f>'H2O Calculations'!A21</f>
        <v>4</v>
      </c>
      <c r="B18" s="30">
        <f>'H2O Calculations'!AG21</f>
        <v>1.00415510694717</v>
      </c>
      <c r="C18" s="26">
        <f t="shared" si="0"/>
        <v>3.14819493780378</v>
      </c>
      <c r="D18" s="26">
        <f t="shared" si="1"/>
        <v>3.35692153157236</v>
      </c>
      <c r="E18" s="26">
        <f t="shared" si="2"/>
        <v>1.14314891759252</v>
      </c>
      <c r="H18" s="26">
        <f t="shared" si="3"/>
        <v>3.35692153157236</v>
      </c>
      <c r="I18">
        <f t="shared" si="4"/>
        <v>50.5537630123778</v>
      </c>
      <c r="P18" s="30">
        <f t="shared" si="5"/>
        <v>0.0041551069471748</v>
      </c>
    </row>
    <row r="19" spans="1:16">
      <c r="A19" s="25">
        <f>'H2O Calculations'!A22</f>
        <v>5</v>
      </c>
      <c r="B19" s="30">
        <f>'H2O Calculations'!AG22</f>
        <v>1.00506079689202</v>
      </c>
      <c r="C19" s="26">
        <f t="shared" si="0"/>
        <v>3.1485254131349</v>
      </c>
      <c r="D19" s="26">
        <f t="shared" si="1"/>
        <v>3.35719600860285</v>
      </c>
      <c r="E19" s="26">
        <f t="shared" si="2"/>
        <v>1.14314891846618</v>
      </c>
      <c r="H19" s="26">
        <f t="shared" si="3"/>
        <v>3.35719600860285</v>
      </c>
      <c r="I19">
        <f t="shared" si="4"/>
        <v>50.5516963873815</v>
      </c>
      <c r="P19" s="30">
        <f t="shared" si="5"/>
        <v>0.00506079689201777</v>
      </c>
    </row>
    <row r="20" spans="1:16">
      <c r="A20" s="25">
        <f>'H2O Calculations'!A23</f>
        <v>6</v>
      </c>
      <c r="B20" s="30">
        <f>'H2O Calculations'!AG23</f>
        <v>1.00596703309471</v>
      </c>
      <c r="C20" s="26">
        <f t="shared" si="0"/>
        <v>3.14885608778892</v>
      </c>
      <c r="D20" s="26">
        <f t="shared" si="1"/>
        <v>3.35747065118142</v>
      </c>
      <c r="E20" s="26">
        <f t="shared" si="2"/>
        <v>1.14314891933879</v>
      </c>
      <c r="H20" s="26">
        <f t="shared" si="3"/>
        <v>3.35747065118142</v>
      </c>
      <c r="I20">
        <f t="shared" si="4"/>
        <v>50.5496287695788</v>
      </c>
      <c r="P20" s="30">
        <f t="shared" si="5"/>
        <v>0.00596703309470503</v>
      </c>
    </row>
    <row r="21" spans="1:16">
      <c r="A21" s="25">
        <f>'H2O Calculations'!A24</f>
        <v>7</v>
      </c>
      <c r="B21" s="30">
        <f>'H2O Calculations'!AG24</f>
        <v>1.00687381604959</v>
      </c>
      <c r="C21" s="26">
        <f t="shared" si="0"/>
        <v>3.14918696194621</v>
      </c>
      <c r="D21" s="26">
        <f t="shared" si="1"/>
        <v>3.35774545945789</v>
      </c>
      <c r="E21" s="26">
        <f t="shared" si="2"/>
        <v>1.14314892021035</v>
      </c>
      <c r="H21" s="26">
        <f t="shared" si="3"/>
        <v>3.35774545945789</v>
      </c>
      <c r="I21">
        <f t="shared" si="4"/>
        <v>50.547560158249</v>
      </c>
      <c r="P21" s="30">
        <f t="shared" si="5"/>
        <v>0.00687381604959092</v>
      </c>
    </row>
    <row r="22" spans="1:16">
      <c r="A22" s="25">
        <f>'H2O Calculations'!A25</f>
        <v>8</v>
      </c>
      <c r="B22" s="30">
        <f>'H2O Calculations'!AG25</f>
        <v>1.00778114625163</v>
      </c>
      <c r="C22" s="26">
        <f t="shared" si="0"/>
        <v>3.14951803578738</v>
      </c>
      <c r="D22" s="26">
        <f t="shared" si="1"/>
        <v>3.35802043358225</v>
      </c>
      <c r="E22" s="26">
        <f t="shared" si="2"/>
        <v>1.14314892108087</v>
      </c>
      <c r="H22" s="26">
        <f t="shared" si="3"/>
        <v>3.35802043358225</v>
      </c>
      <c r="I22">
        <f t="shared" si="4"/>
        <v>50.5454905526707</v>
      </c>
      <c r="P22" s="30">
        <f t="shared" si="5"/>
        <v>0.00778114625162551</v>
      </c>
    </row>
    <row r="23" spans="1:16">
      <c r="A23" s="25">
        <f>'H2O Calculations'!A26</f>
        <v>9</v>
      </c>
      <c r="B23" s="30">
        <f>'H2O Calculations'!AG26</f>
        <v>1.00868902419636</v>
      </c>
      <c r="C23" s="26">
        <f t="shared" si="0"/>
        <v>3.14984930949326</v>
      </c>
      <c r="D23" s="26">
        <f t="shared" si="1"/>
        <v>3.35829557370469</v>
      </c>
      <c r="E23" s="26">
        <f t="shared" si="2"/>
        <v>1.14314892195034</v>
      </c>
      <c r="H23" s="26">
        <f t="shared" si="3"/>
        <v>3.35829557370469</v>
      </c>
      <c r="I23">
        <f t="shared" si="4"/>
        <v>50.5434199521216</v>
      </c>
      <c r="P23" s="30">
        <f t="shared" si="5"/>
        <v>0.00868902419635753</v>
      </c>
    </row>
    <row r="24" spans="1:16">
      <c r="A24" s="25">
        <f>'H2O Calculations'!A27</f>
        <v>10</v>
      </c>
      <c r="B24" s="30">
        <f>'H2O Calculations'!AG27</f>
        <v>1.00959745037993</v>
      </c>
      <c r="C24" s="26">
        <f t="shared" si="0"/>
        <v>3.15018078324487</v>
      </c>
      <c r="D24" s="26">
        <f t="shared" si="1"/>
        <v>3.35857087997557</v>
      </c>
      <c r="E24" s="26">
        <f t="shared" si="2"/>
        <v>1.14314892281878</v>
      </c>
      <c r="H24" s="26">
        <f t="shared" si="3"/>
        <v>3.35857087997557</v>
      </c>
      <c r="I24">
        <f t="shared" si="4"/>
        <v>50.5413483558788</v>
      </c>
      <c r="P24" s="30">
        <f t="shared" si="5"/>
        <v>0.00959745037993387</v>
      </c>
    </row>
    <row r="25" spans="1:16">
      <c r="A25" s="25">
        <f>'H2O Calculations'!A28</f>
        <v>20</v>
      </c>
      <c r="B25" s="30">
        <f>'H2O Calculations'!AG28</f>
        <v>1.01871197493415</v>
      </c>
      <c r="C25" s="26">
        <f t="shared" si="0"/>
        <v>3.15350656326175</v>
      </c>
      <c r="D25" s="26">
        <f t="shared" si="1"/>
        <v>3.36133311405823</v>
      </c>
      <c r="E25" s="26">
        <f t="shared" si="2"/>
        <v>1.14314893144634</v>
      </c>
      <c r="H25" s="26">
        <f t="shared" si="3"/>
        <v>3.36133311405823</v>
      </c>
      <c r="I25">
        <f t="shared" si="4"/>
        <v>50.5205774707577</v>
      </c>
      <c r="P25" s="30">
        <f t="shared" si="5"/>
        <v>0.0187119749341542</v>
      </c>
    </row>
    <row r="26" spans="1:16">
      <c r="A26" s="25">
        <f>'H2O Calculations'!A29</f>
        <v>30</v>
      </c>
      <c r="B26" s="30">
        <f>'H2O Calculations'!AG29</f>
        <v>1.02788187361308</v>
      </c>
      <c r="C26" s="26">
        <f t="shared" si="0"/>
        <v>3.15685254862848</v>
      </c>
      <c r="D26" s="26">
        <f t="shared" si="1"/>
        <v>3.36411212973973</v>
      </c>
      <c r="E26" s="26">
        <f t="shared" si="2"/>
        <v>1.14314893997192</v>
      </c>
      <c r="H26" s="26">
        <f t="shared" si="3"/>
        <v>3.36411212973972</v>
      </c>
      <c r="I26">
        <f t="shared" si="4"/>
        <v>50.4997062158207</v>
      </c>
      <c r="P26" s="30">
        <f t="shared" si="5"/>
        <v>0.0278818736130759</v>
      </c>
    </row>
    <row r="27" spans="1:16">
      <c r="A27" s="25">
        <f>'H2O Calculations'!A30</f>
        <v>40</v>
      </c>
      <c r="B27" s="30">
        <f>'H2O Calculations'!AG30</f>
        <v>1.03710765258186</v>
      </c>
      <c r="C27" s="26">
        <f t="shared" si="0"/>
        <v>3.16021892403863</v>
      </c>
      <c r="D27" s="26">
        <f t="shared" si="1"/>
        <v>3.36690808041769</v>
      </c>
      <c r="E27" s="26">
        <f t="shared" si="2"/>
        <v>1.14314894839731</v>
      </c>
      <c r="H27" s="26">
        <f t="shared" si="3"/>
        <v>3.36690808041769</v>
      </c>
      <c r="I27">
        <f t="shared" si="4"/>
        <v>50.4787338564053</v>
      </c>
      <c r="P27" s="30">
        <f t="shared" si="5"/>
        <v>0.0371076525818566</v>
      </c>
    </row>
    <row r="28" spans="1:16">
      <c r="A28" s="25">
        <f>'H2O Calculations'!A31</f>
        <v>50</v>
      </c>
      <c r="B28" s="30">
        <f>'H2O Calculations'!AG31</f>
        <v>1.04638982419353</v>
      </c>
      <c r="C28" s="26">
        <f t="shared" si="0"/>
        <v>3.16360587644363</v>
      </c>
      <c r="D28" s="26">
        <f t="shared" si="1"/>
        <v>3.36972112136507</v>
      </c>
      <c r="E28" s="26">
        <f t="shared" si="2"/>
        <v>1.14314895672426</v>
      </c>
      <c r="H28" s="26">
        <f t="shared" si="3"/>
        <v>3.36972112136506</v>
      </c>
      <c r="I28">
        <f t="shared" si="4"/>
        <v>50.4576596506054</v>
      </c>
      <c r="P28" s="30">
        <f t="shared" si="5"/>
        <v>0.0463898241935299</v>
      </c>
    </row>
    <row r="29" spans="1:16">
      <c r="A29" s="25">
        <f>'H2O Calculations'!A32</f>
        <v>60</v>
      </c>
      <c r="B29" s="30">
        <f>'H2O Calculations'!AG32</f>
        <v>1.05572890708386</v>
      </c>
      <c r="C29" s="26">
        <f t="shared" si="0"/>
        <v>3.16701359508742</v>
      </c>
      <c r="D29" s="26">
        <f t="shared" si="1"/>
        <v>3.37255140975883</v>
      </c>
      <c r="E29" s="26">
        <f t="shared" si="2"/>
        <v>1.1431489649545</v>
      </c>
      <c r="H29" s="26">
        <f t="shared" si="3"/>
        <v>3.37255140975883</v>
      </c>
      <c r="I29">
        <f t="shared" si="4"/>
        <v>50.4364828491799</v>
      </c>
      <c r="P29" s="30">
        <f t="shared" si="5"/>
        <v>0.0557289070838558</v>
      </c>
    </row>
    <row r="30" spans="1:16">
      <c r="A30" s="25">
        <f>'H2O Calculations'!A33</f>
        <v>70</v>
      </c>
      <c r="B30" s="30">
        <f>'H2O Calculations'!AG33</f>
        <v>1.06512542626792</v>
      </c>
      <c r="C30" s="26">
        <f t="shared" si="0"/>
        <v>3.17044227154165</v>
      </c>
      <c r="D30" s="26">
        <f t="shared" si="1"/>
        <v>3.37539910470926</v>
      </c>
      <c r="E30" s="26">
        <f t="shared" si="2"/>
        <v>1.14314897308969</v>
      </c>
      <c r="H30" s="26">
        <f t="shared" si="3"/>
        <v>3.37539910470926</v>
      </c>
      <c r="I30">
        <f t="shared" si="4"/>
        <v>50.4152026954622</v>
      </c>
      <c r="P30" s="30">
        <f t="shared" si="5"/>
        <v>0.0651254262679157</v>
      </c>
    </row>
    <row r="31" spans="1:16">
      <c r="A31" s="25">
        <f>'H2O Calculations'!A34</f>
        <v>80</v>
      </c>
      <c r="B31" s="30">
        <f>'H2O Calculations'!AG34</f>
        <v>1.0745799132385</v>
      </c>
      <c r="C31" s="26">
        <f t="shared" si="0"/>
        <v>3.17389209974164</v>
      </c>
      <c r="D31" s="26">
        <f t="shared" si="1"/>
        <v>3.37826436728976</v>
      </c>
      <c r="E31" s="26">
        <f t="shared" si="2"/>
        <v>1.14314898113147</v>
      </c>
      <c r="H31" s="26">
        <f t="shared" si="3"/>
        <v>3.37826436728976</v>
      </c>
      <c r="I31">
        <f t="shared" si="4"/>
        <v>50.3938184252665</v>
      </c>
      <c r="P31" s="30">
        <f t="shared" si="5"/>
        <v>0.0745799132385032</v>
      </c>
    </row>
    <row r="32" spans="1:16">
      <c r="A32" s="25">
        <f>'H2O Calculations'!A35</f>
        <v>90</v>
      </c>
      <c r="B32" s="30">
        <f>'H2O Calculations'!AG35</f>
        <v>1.08409290606633</v>
      </c>
      <c r="C32" s="26">
        <f t="shared" si="0"/>
        <v>3.17736327602289</v>
      </c>
      <c r="D32" s="26">
        <f t="shared" si="1"/>
        <v>3.38114736056723</v>
      </c>
      <c r="E32" s="26">
        <f t="shared" si="2"/>
        <v>1.14314898908145</v>
      </c>
      <c r="H32" s="26">
        <f t="shared" si="3"/>
        <v>3.38114736056723</v>
      </c>
      <c r="I32">
        <f t="shared" si="4"/>
        <v>50.3723292667938</v>
      </c>
      <c r="P32" s="30">
        <f t="shared" si="5"/>
        <v>0.0840929060663329</v>
      </c>
    </row>
    <row r="33" spans="1:16">
      <c r="A33" s="25">
        <f>'H2O Calculations'!A36</f>
        <v>100</v>
      </c>
      <c r="B33" s="30">
        <f>'H2O Calculations'!AG36</f>
        <v>1.09366494950212</v>
      </c>
      <c r="C33" s="26">
        <f t="shared" si="0"/>
        <v>3.18085599915837</v>
      </c>
      <c r="D33" s="26">
        <f t="shared" si="1"/>
        <v>3.38404824963301</v>
      </c>
      <c r="E33" s="26">
        <f t="shared" si="2"/>
        <v>1.14314899694118</v>
      </c>
      <c r="H33" s="26">
        <f t="shared" si="3"/>
        <v>3.384048249633</v>
      </c>
      <c r="I33">
        <f t="shared" si="4"/>
        <v>50.3507344405355</v>
      </c>
      <c r="P33" s="30">
        <f t="shared" si="5"/>
        <v>0.0936649495021213</v>
      </c>
    </row>
    <row r="34" spans="1:16">
      <c r="A34" s="11" t="s">
        <v>91</v>
      </c>
      <c r="B34" s="31">
        <v>4.38</v>
      </c>
      <c r="C34" s="32">
        <f t="shared" si="0"/>
        <v>4.38</v>
      </c>
      <c r="D34" s="32">
        <f t="shared" si="1"/>
        <v>4.38</v>
      </c>
      <c r="E34" s="32">
        <f t="shared" si="2"/>
        <v>1.14314966483537</v>
      </c>
      <c r="F34" s="11"/>
      <c r="G34" s="11"/>
      <c r="H34" s="26">
        <f t="shared" si="3"/>
        <v>4.38</v>
      </c>
      <c r="I34">
        <f t="shared" si="4"/>
        <v>44.257515262403</v>
      </c>
      <c r="P34" s="30"/>
    </row>
    <row r="35" spans="1:16">
      <c r="A35" s="11" t="s">
        <v>91</v>
      </c>
      <c r="B35" s="31">
        <v>1</v>
      </c>
      <c r="C35" s="32">
        <f t="shared" si="0"/>
        <v>3.14667878942208</v>
      </c>
      <c r="D35" s="32">
        <f t="shared" si="1"/>
        <v>3.35566229111957</v>
      </c>
      <c r="E35" s="32">
        <f t="shared" si="2"/>
        <v>1.1431489135641</v>
      </c>
      <c r="F35" s="11"/>
      <c r="G35" s="11"/>
      <c r="H35" s="26">
        <f t="shared" si="3"/>
        <v>3.35566229111957</v>
      </c>
      <c r="I35">
        <f t="shared" si="4"/>
        <v>50.5632474847186</v>
      </c>
      <c r="P35" s="30"/>
    </row>
    <row r="36" spans="3:8">
      <c r="C36" t="s">
        <v>92</v>
      </c>
      <c r="D36" t="s">
        <v>92</v>
      </c>
      <c r="H36" t="s">
        <v>92</v>
      </c>
    </row>
    <row r="37" spans="3:8">
      <c r="C37" s="33">
        <f>A51+(2*B51/PI())*LN(17.08*(A51/(2*B51)+0.92))</f>
        <v>0.00206762011210206</v>
      </c>
      <c r="D37">
        <f>A51+(2*B51/PI())*LN(17.08*(A51/(2*B51)+0.92))</f>
        <v>0.00206762011210206</v>
      </c>
      <c r="H37">
        <f>A51+(2*B51/PI())*LN(17.08*(A51/(2*B51)+0.92))</f>
        <v>0.00206762011210206</v>
      </c>
    </row>
    <row r="38" spans="3:8">
      <c r="C38" t="s">
        <v>93</v>
      </c>
      <c r="D38" t="s">
        <v>94</v>
      </c>
      <c r="H38" t="s">
        <v>95</v>
      </c>
    </row>
    <row r="39" spans="3:8">
      <c r="C39">
        <f>B51/B51</f>
        <v>1</v>
      </c>
      <c r="D39">
        <f>(2*$B$51/PI())*ATAN((PI()/((PI()*D37)/(2*$B$51)-2))*(($E$51/$B$51)-1))</f>
        <v>0.000507997702522871</v>
      </c>
      <c r="H39">
        <f>(2*$B$51/PI())*ATAN((PI()/((PI()*H37)/(2*$B$51)-2))*(($E$51/$B$51)-1))</f>
        <v>0.000507997702522871</v>
      </c>
    </row>
    <row r="41" spans="3:8">
      <c r="C41" t="s">
        <v>96</v>
      </c>
      <c r="D41" t="s">
        <v>96</v>
      </c>
      <c r="E41" t="s">
        <v>96</v>
      </c>
      <c r="H41" t="s">
        <v>96</v>
      </c>
    </row>
    <row r="42" spans="3:8">
      <c r="C42">
        <f>($C$39/2)*(1+PI()/4-($B$51/C37)*LN((2*C37/$B$51)*SIN($C$39*PI()/2)/$C$39+COS($C$39*PI()/2)))</f>
        <v>0.635112067876354</v>
      </c>
      <c r="D42">
        <f>1-0.5*(B51/$D$37)*LN((PI()*$D$37/B51)-1)</f>
        <v>0.696941506248394</v>
      </c>
      <c r="E42">
        <f>0.5+0.9/(PI()*LN(B51/A51))</f>
        <v>0.0423517495751767</v>
      </c>
      <c r="H42">
        <f>1-0.5*($B$51/$H$37)*LN((PI()*$H$37/$B$51)-1)</f>
        <v>0.696941506248394</v>
      </c>
    </row>
    <row r="43" spans="3:8">
      <c r="C43" t="s">
        <v>97</v>
      </c>
      <c r="D43" t="s">
        <v>97</v>
      </c>
      <c r="E43" t="s">
        <v>97</v>
      </c>
      <c r="H43" t="s">
        <v>97</v>
      </c>
    </row>
    <row r="44" spans="3:8">
      <c r="C44">
        <f>1-C42</f>
        <v>0.364887932123646</v>
      </c>
      <c r="D44" s="33">
        <f>1-D42</f>
        <v>0.303058493751606</v>
      </c>
      <c r="E44">
        <f>(0.9+(PI()/4)*LN((E51/B51+1)/(E51/B51+A51/(4*B51)-1)))/(PI()*LN(8*B51/A51))*ACOS((1-(B51/E51)*(1-A51/(8*B51)))*SQRT((E51/B51+1)/(E51/B51+A51/(4*B51)-1)))</f>
        <v>9.73540120978592e-7</v>
      </c>
      <c r="H44">
        <f>1-H42-0.5*((B51-H39)/H37)*LN((PI()*H37/B51)*(COS(H39*PI()/(2*B51)))/(PI()*(E51/B51-0.5)+(H39*PI()/(2*B51)))+SIN(H39*PI()/(2*B51)))</f>
        <v>0.303058493751606</v>
      </c>
    </row>
    <row r="50" spans="1:5">
      <c r="A50" t="s">
        <v>98</v>
      </c>
      <c r="B50" s="30" t="s">
        <v>99</v>
      </c>
      <c r="C50" t="s">
        <v>100</v>
      </c>
      <c r="D50" t="s">
        <v>101</v>
      </c>
      <c r="E50" t="s">
        <v>102</v>
      </c>
    </row>
    <row r="51" spans="1:5">
      <c r="A51">
        <f>0.00095</f>
        <v>0.00095</v>
      </c>
      <c r="B51" s="30">
        <f>0.000508</f>
        <v>0.000508</v>
      </c>
      <c r="C51">
        <v>4.38</v>
      </c>
      <c r="D51">
        <v>100</v>
      </c>
      <c r="E51">
        <f>B51+D51</f>
        <v>100.000508</v>
      </c>
    </row>
    <row r="52" spans="17:19">
      <c r="Q52">
        <f>60*LN((8*B51/A51)+0.25*(A51/B51))</f>
        <v>93.4307260137241</v>
      </c>
      <c r="S52">
        <f>(C51+1)/2+(C51-1)/2*(1+10*(B51/A51))^(-0.5)</f>
        <v>3.36079505313974</v>
      </c>
    </row>
  </sheetData>
  <mergeCells count="1">
    <mergeCell ref="D3:E3"/>
  </mergeCells>
  <pageMargins left="0.75" right="0.75" top="1" bottom="1" header="0.5" footer="0.5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5"/>
  <sheetViews>
    <sheetView workbookViewId="0">
      <selection activeCell="I35" sqref="I35"/>
    </sheetView>
  </sheetViews>
  <sheetFormatPr defaultColWidth="9.14285714285714" defaultRowHeight="12.75"/>
  <cols>
    <col min="2" max="2" width="18.8571428571429" customWidth="1"/>
    <col min="4" max="15" width="14.7142857142857" style="1" customWidth="1"/>
  </cols>
  <sheetData>
    <row r="1" spans="4:9">
      <c r="D1" s="24" t="s">
        <v>103</v>
      </c>
      <c r="E1" s="24"/>
      <c r="F1" s="24"/>
      <c r="G1" s="24"/>
      <c r="H1" s="24"/>
      <c r="I1" s="24"/>
    </row>
    <row r="2" spans="4:15">
      <c r="D2" s="24">
        <f>0.25</f>
        <v>0.25</v>
      </c>
      <c r="E2" s="24"/>
      <c r="F2" s="24">
        <f>0.5</f>
        <v>0.5</v>
      </c>
      <c r="G2" s="24"/>
      <c r="H2" s="24">
        <f>0.612</f>
        <v>0.612</v>
      </c>
      <c r="I2" s="24"/>
      <c r="J2" s="24">
        <v>0.01</v>
      </c>
      <c r="K2" s="24"/>
      <c r="L2" s="24">
        <f>0.75</f>
        <v>0.75</v>
      </c>
      <c r="M2" s="24"/>
      <c r="N2" s="24">
        <f>1</f>
        <v>1</v>
      </c>
      <c r="O2" s="24"/>
    </row>
    <row r="3" spans="1:15">
      <c r="A3" t="s">
        <v>18</v>
      </c>
      <c r="B3" t="s">
        <v>77</v>
      </c>
      <c r="C3" t="s">
        <v>78</v>
      </c>
      <c r="D3" s="1" t="s">
        <v>104</v>
      </c>
      <c r="E3" s="1" t="s">
        <v>105</v>
      </c>
      <c r="F3" s="1" t="s">
        <v>106</v>
      </c>
      <c r="G3" s="1" t="s">
        <v>107</v>
      </c>
      <c r="H3" s="1" t="s">
        <v>108</v>
      </c>
      <c r="I3" s="1" t="s">
        <v>109</v>
      </c>
      <c r="J3" s="1" t="s">
        <v>110</v>
      </c>
      <c r="K3" s="1" t="s">
        <v>111</v>
      </c>
      <c r="L3" s="1" t="s">
        <v>112</v>
      </c>
      <c r="M3" s="1" t="s">
        <v>113</v>
      </c>
      <c r="N3" s="1" t="s">
        <v>114</v>
      </c>
      <c r="O3" s="1" t="s">
        <v>115</v>
      </c>
    </row>
    <row r="4" spans="1:17">
      <c r="A4" s="25">
        <f>'H2O Calculations'!A8</f>
        <v>0</v>
      </c>
      <c r="B4" s="26">
        <f>'Calculo de Dk H2O'!B5</f>
        <v>1.00053779988</v>
      </c>
      <c r="C4" s="26">
        <f>'Calculo de Dk H2O'!D5</f>
        <v>3.35582527594115</v>
      </c>
      <c r="D4" s="1">
        <f>$D$2*360*$D$37*SQRT(C4*1)/$E$37</f>
        <v>2749.73904985522</v>
      </c>
      <c r="E4" s="1">
        <f>D4-$D$4</f>
        <v>0</v>
      </c>
      <c r="F4" s="1">
        <f>$F$2*360*$D$37*SQRT(C4*1)/$E$37</f>
        <v>5499.47809971044</v>
      </c>
      <c r="G4" s="1">
        <f>F4-$F$4</f>
        <v>0</v>
      </c>
      <c r="H4" s="1">
        <f>$H$2*360*$D$37*SQRT(C4*1)/$E$37</f>
        <v>6731.36119404558</v>
      </c>
      <c r="I4" s="1">
        <f>H4-$H$4</f>
        <v>0</v>
      </c>
      <c r="J4" s="1">
        <f>$J$2*360*$D$37*SQRT(C4*1)/$E$37</f>
        <v>109.989561994209</v>
      </c>
      <c r="K4" s="1">
        <f>J4-$J$4</f>
        <v>0</v>
      </c>
      <c r="L4" s="1">
        <f>$L$2*360*$D$37*SQRT(C4*1)/$E$37</f>
        <v>8249.21714956566</v>
      </c>
      <c r="M4" s="1">
        <f>L4-$L$4</f>
        <v>0</v>
      </c>
      <c r="N4" s="1">
        <f>$N$2*360*$D$37*SQRT(C4*1)/$E$37</f>
        <v>10998.9561994209</v>
      </c>
      <c r="O4" s="1">
        <f>N4-$N$4</f>
        <v>0</v>
      </c>
      <c r="Q4" s="26">
        <v>3.35582531246294</v>
      </c>
    </row>
    <row r="5" spans="1:17">
      <c r="A5" s="25">
        <f>'H2O Calculations'!A9</f>
        <v>0.1</v>
      </c>
      <c r="B5" s="26">
        <f>'Calculo de Dk H2O'!B6</f>
        <v>1.00062812638563</v>
      </c>
      <c r="C5" s="26">
        <f>'Calculo de Dk H2O'!D6</f>
        <v>3.35585265015589</v>
      </c>
      <c r="D5" s="1">
        <f t="shared" ref="D5:D32" si="0">$D$2*360*$D$37*SQRT(C5*1)/$E$37</f>
        <v>2749.7502649495</v>
      </c>
      <c r="E5" s="1">
        <f>D5-$D$4</f>
        <v>0.0112150942827611</v>
      </c>
      <c r="F5" s="1">
        <f t="shared" ref="F5:F32" si="1">$F$2*360*$D$37*SQRT(C5*1)/$E$37</f>
        <v>5499.500529899</v>
      </c>
      <c r="G5" s="1">
        <f t="shared" ref="G5:G32" si="2">F5-$F$4</f>
        <v>0.0224301885655223</v>
      </c>
      <c r="H5" s="1">
        <f t="shared" ref="H5:H32" si="3">$H$2*360*$D$37*SQRT(C5*1)/$E$37</f>
        <v>6731.38864859638</v>
      </c>
      <c r="I5" s="1">
        <f t="shared" ref="I5:I32" si="4">H5-$H$4</f>
        <v>0.0274545508036681</v>
      </c>
      <c r="J5" s="1">
        <f t="shared" ref="J5:J32" si="5">$J$2*360*$D$37*SQRT(C5*1)/$E$37</f>
        <v>109.99001059798</v>
      </c>
      <c r="K5" s="1">
        <f t="shared" ref="K5:K32" si="6">J5-$J$4</f>
        <v>0.000448603771317835</v>
      </c>
      <c r="L5" s="1">
        <f t="shared" ref="L5:L32" si="7">$L$2*360*$D$37*SQRT(C5*1)/$E$37</f>
        <v>8249.25079484851</v>
      </c>
      <c r="M5" s="1">
        <f t="shared" ref="M5:M32" si="8">L5-$L$4</f>
        <v>0.0336452828487381</v>
      </c>
      <c r="N5" s="1">
        <f t="shared" ref="N5:N32" si="9">$N$2*360*$D$37*SQRT(C5*1)/$E$37</f>
        <v>10999.001059798</v>
      </c>
      <c r="O5" s="1">
        <f t="shared" ref="O5:O32" si="10">N5-$N$4</f>
        <v>0.0448603771310445</v>
      </c>
      <c r="Q5" s="26">
        <v>3.35591774090949</v>
      </c>
    </row>
    <row r="6" spans="1:17">
      <c r="A6" s="25">
        <f>'H2O Calculations'!A10</f>
        <v>0.2</v>
      </c>
      <c r="B6" s="26">
        <f>'Calculo de Dk H2O'!B7</f>
        <v>1.0007184583297</v>
      </c>
      <c r="C6" s="26">
        <f>'Calculo de Dk H2O'!D7</f>
        <v>3.35588002601879</v>
      </c>
      <c r="D6" s="1">
        <f t="shared" si="0"/>
        <v>2749.76148067328</v>
      </c>
      <c r="E6" s="1">
        <f t="shared" ref="E6:E32" si="11">D6-$D$4</f>
        <v>0.0224308180659136</v>
      </c>
      <c r="F6" s="1">
        <f t="shared" si="1"/>
        <v>5499.52296134657</v>
      </c>
      <c r="G6" s="1">
        <f t="shared" si="2"/>
        <v>0.0448616361318273</v>
      </c>
      <c r="H6" s="1">
        <f t="shared" si="3"/>
        <v>6731.4161046882</v>
      </c>
      <c r="I6" s="1">
        <f t="shared" si="4"/>
        <v>0.0549106426251456</v>
      </c>
      <c r="J6" s="1">
        <f t="shared" si="5"/>
        <v>109.990459226931</v>
      </c>
      <c r="K6" s="1">
        <f t="shared" si="6"/>
        <v>0.000897232722650187</v>
      </c>
      <c r="L6" s="1">
        <f t="shared" si="7"/>
        <v>8249.28444201986</v>
      </c>
      <c r="M6" s="1">
        <f t="shared" si="8"/>
        <v>0.0672924541995599</v>
      </c>
      <c r="N6" s="1">
        <f t="shared" si="9"/>
        <v>10999.0459226931</v>
      </c>
      <c r="O6" s="1">
        <f t="shared" si="10"/>
        <v>0.0897232722636545</v>
      </c>
      <c r="Q6" s="26">
        <v>3.35675044690802</v>
      </c>
    </row>
    <row r="7" spans="1:17">
      <c r="A7" s="25">
        <f>'H2O Calculations'!A11</f>
        <v>0.3</v>
      </c>
      <c r="B7" s="26">
        <f>'Calculo de Dk H2O'!B8</f>
        <v>1.00080879571271</v>
      </c>
      <c r="C7" s="26">
        <f>'Calculo de Dk H2O'!D8</f>
        <v>3.35590740353002</v>
      </c>
      <c r="D7" s="1">
        <f t="shared" si="0"/>
        <v>2749.77269702662</v>
      </c>
      <c r="E7" s="1">
        <f t="shared" si="11"/>
        <v>0.0336471714044819</v>
      </c>
      <c r="F7" s="1">
        <f t="shared" si="1"/>
        <v>5499.54539405325</v>
      </c>
      <c r="G7" s="1">
        <f t="shared" si="2"/>
        <v>0.0672943428089638</v>
      </c>
      <c r="H7" s="1">
        <f t="shared" si="3"/>
        <v>6731.44356232117</v>
      </c>
      <c r="I7" s="1">
        <f t="shared" si="4"/>
        <v>0.0823682755972186</v>
      </c>
      <c r="J7" s="1">
        <f t="shared" si="5"/>
        <v>109.990907881065</v>
      </c>
      <c r="K7" s="1">
        <f t="shared" si="6"/>
        <v>0.00134588685618553</v>
      </c>
      <c r="L7" s="1">
        <f t="shared" si="7"/>
        <v>8249.31809107987</v>
      </c>
      <c r="M7" s="1">
        <f t="shared" si="8"/>
        <v>0.100941514214355</v>
      </c>
      <c r="N7" s="1">
        <f t="shared" si="9"/>
        <v>10999.0907881065</v>
      </c>
      <c r="O7" s="1">
        <f t="shared" si="10"/>
        <v>0.134588685617928</v>
      </c>
      <c r="Q7" s="26">
        <v>3.36516194635399</v>
      </c>
    </row>
    <row r="8" spans="1:17">
      <c r="A8" s="25">
        <f>'H2O Calculations'!A12</f>
        <v>0.4</v>
      </c>
      <c r="B8" s="26">
        <f>'Calculo de Dk H2O'!B9</f>
        <v>1.00089913853514</v>
      </c>
      <c r="C8" s="26">
        <f>'Calculo de Dk H2O'!D9</f>
        <v>3.35593478268971</v>
      </c>
      <c r="D8" s="1">
        <f t="shared" si="0"/>
        <v>2749.78391400957</v>
      </c>
      <c r="E8" s="1">
        <f t="shared" si="11"/>
        <v>0.044864154348943</v>
      </c>
      <c r="F8" s="1">
        <f t="shared" si="1"/>
        <v>5499.56782801914</v>
      </c>
      <c r="G8" s="1">
        <f t="shared" si="2"/>
        <v>0.0897283086978859</v>
      </c>
      <c r="H8" s="1">
        <f t="shared" si="3"/>
        <v>6731.47102149542</v>
      </c>
      <c r="I8" s="1">
        <f t="shared" si="4"/>
        <v>0.109827449846307</v>
      </c>
      <c r="J8" s="1">
        <f t="shared" si="5"/>
        <v>109.991356560383</v>
      </c>
      <c r="K8" s="1">
        <f t="shared" si="6"/>
        <v>0.00179456617397022</v>
      </c>
      <c r="L8" s="1">
        <f t="shared" si="7"/>
        <v>8249.3517420287</v>
      </c>
      <c r="M8" s="1">
        <f t="shared" si="8"/>
        <v>0.134592463047738</v>
      </c>
      <c r="N8" s="1">
        <f t="shared" si="9"/>
        <v>10999.1356560383</v>
      </c>
      <c r="O8" s="1">
        <f t="shared" si="10"/>
        <v>0.179456617395772</v>
      </c>
      <c r="Q8" s="26">
        <v>3.45801239997332</v>
      </c>
    </row>
    <row r="9" spans="1:17">
      <c r="A9" s="25">
        <f>'H2O Calculations'!A13</f>
        <v>0.5</v>
      </c>
      <c r="B9" s="26">
        <f>'Calculo de Dk H2O'!B10</f>
        <v>1.00098948679748</v>
      </c>
      <c r="C9" s="26">
        <f>'Calculo de Dk H2O'!D10</f>
        <v>3.355962163498</v>
      </c>
      <c r="D9" s="1">
        <f t="shared" si="0"/>
        <v>2749.79513162217</v>
      </c>
      <c r="E9" s="1">
        <f t="shared" si="11"/>
        <v>0.0560817669538665</v>
      </c>
      <c r="F9" s="1">
        <f t="shared" si="1"/>
        <v>5499.59026324435</v>
      </c>
      <c r="G9" s="1">
        <f t="shared" si="2"/>
        <v>0.112163533907733</v>
      </c>
      <c r="H9" s="1">
        <f t="shared" si="3"/>
        <v>6731.49848221108</v>
      </c>
      <c r="I9" s="1">
        <f t="shared" si="4"/>
        <v>0.137288165501559</v>
      </c>
      <c r="J9" s="1">
        <f t="shared" si="5"/>
        <v>109.991805264887</v>
      </c>
      <c r="K9" s="1">
        <f t="shared" si="6"/>
        <v>0.00224327067815011</v>
      </c>
      <c r="L9" s="1">
        <f t="shared" si="7"/>
        <v>8249.38539486652</v>
      </c>
      <c r="M9" s="1">
        <f t="shared" si="8"/>
        <v>0.168245300861599</v>
      </c>
      <c r="N9" s="1">
        <f t="shared" si="9"/>
        <v>10999.1805264887</v>
      </c>
      <c r="O9" s="1">
        <f t="shared" si="10"/>
        <v>0.224327067815466</v>
      </c>
      <c r="Q9" s="26"/>
    </row>
    <row r="10" spans="1:17">
      <c r="A10" s="25">
        <f>'H2O Calculations'!A14</f>
        <v>0.6</v>
      </c>
      <c r="B10" s="26">
        <f>'Calculo de Dk H2O'!B11</f>
        <v>1.00107984050023</v>
      </c>
      <c r="C10" s="26">
        <f>'Calculo de Dk H2O'!D11</f>
        <v>3.35598954595506</v>
      </c>
      <c r="D10" s="1">
        <f t="shared" si="0"/>
        <v>2749.80634986449</v>
      </c>
      <c r="E10" s="1">
        <f t="shared" si="11"/>
        <v>0.0673000092720031</v>
      </c>
      <c r="F10" s="1">
        <f t="shared" si="1"/>
        <v>5499.61269972898</v>
      </c>
      <c r="G10" s="1">
        <f t="shared" si="2"/>
        <v>0.134600018544006</v>
      </c>
      <c r="H10" s="1">
        <f t="shared" si="3"/>
        <v>6731.52594446827</v>
      </c>
      <c r="I10" s="1">
        <f t="shared" si="4"/>
        <v>0.16475042269758</v>
      </c>
      <c r="J10" s="1">
        <f t="shared" si="5"/>
        <v>109.99225399458</v>
      </c>
      <c r="K10" s="1">
        <f t="shared" si="6"/>
        <v>0.00269200037088524</v>
      </c>
      <c r="L10" s="1">
        <f t="shared" si="7"/>
        <v>8249.41904959347</v>
      </c>
      <c r="M10" s="1">
        <f t="shared" si="8"/>
        <v>0.201900027817828</v>
      </c>
      <c r="N10" s="1">
        <f t="shared" si="9"/>
        <v>10999.225399458</v>
      </c>
      <c r="O10" s="1">
        <f t="shared" si="10"/>
        <v>0.269200037088012</v>
      </c>
      <c r="Q10" s="26"/>
    </row>
    <row r="11" spans="1:17">
      <c r="A11" s="25">
        <f>'H2O Calculations'!A15</f>
        <v>0.7</v>
      </c>
      <c r="B11" s="26">
        <f>'Calculo de Dk H2O'!B12</f>
        <v>1.00117019964387</v>
      </c>
      <c r="C11" s="26">
        <f>'Calculo de Dk H2O'!D12</f>
        <v>3.35601693006103</v>
      </c>
      <c r="D11" s="1">
        <f t="shared" si="0"/>
        <v>2749.81756873658</v>
      </c>
      <c r="E11" s="1">
        <f t="shared" si="11"/>
        <v>0.078518881357013</v>
      </c>
      <c r="F11" s="1">
        <f t="shared" si="1"/>
        <v>5499.63513747315</v>
      </c>
      <c r="G11" s="1">
        <f t="shared" si="2"/>
        <v>0.157037762714026</v>
      </c>
      <c r="H11" s="1">
        <f t="shared" si="3"/>
        <v>6731.55340826714</v>
      </c>
      <c r="I11" s="1">
        <f t="shared" si="4"/>
        <v>0.192214221561699</v>
      </c>
      <c r="J11" s="1">
        <f t="shared" si="5"/>
        <v>109.992702749463</v>
      </c>
      <c r="K11" s="1">
        <f t="shared" si="6"/>
        <v>0.00314075525427882</v>
      </c>
      <c r="L11" s="1">
        <f t="shared" si="7"/>
        <v>8249.45270620973</v>
      </c>
      <c r="M11" s="1">
        <f t="shared" si="8"/>
        <v>0.235556644071039</v>
      </c>
      <c r="N11" s="1">
        <f t="shared" si="9"/>
        <v>10999.2702749463</v>
      </c>
      <c r="O11" s="1">
        <f t="shared" si="10"/>
        <v>0.314075525428052</v>
      </c>
      <c r="Q11" s="26"/>
    </row>
    <row r="12" spans="1:17">
      <c r="A12" s="25">
        <f>'H2O Calculations'!A16</f>
        <v>0.8</v>
      </c>
      <c r="B12" s="26">
        <f>'Calculo de Dk H2O'!B13</f>
        <v>1.0012605642289</v>
      </c>
      <c r="C12" s="26">
        <f>'Calculo de Dk H2O'!D13</f>
        <v>3.35604431581606</v>
      </c>
      <c r="D12" s="1">
        <f t="shared" si="0"/>
        <v>2749.82878823848</v>
      </c>
      <c r="E12" s="1">
        <f t="shared" si="11"/>
        <v>0.0897383832621017</v>
      </c>
      <c r="F12" s="1">
        <f t="shared" si="1"/>
        <v>5499.65757647696</v>
      </c>
      <c r="G12" s="1">
        <f t="shared" si="2"/>
        <v>0.179476766524203</v>
      </c>
      <c r="H12" s="1">
        <f t="shared" si="3"/>
        <v>6731.5808736078</v>
      </c>
      <c r="I12" s="1">
        <f t="shared" si="4"/>
        <v>0.219679562225792</v>
      </c>
      <c r="J12" s="1">
        <f t="shared" si="5"/>
        <v>109.993151529539</v>
      </c>
      <c r="K12" s="1">
        <f t="shared" si="6"/>
        <v>0.00358953533049089</v>
      </c>
      <c r="L12" s="1">
        <f t="shared" si="7"/>
        <v>8249.48636471544</v>
      </c>
      <c r="M12" s="1">
        <f t="shared" si="8"/>
        <v>0.26921514978676</v>
      </c>
      <c r="N12" s="1">
        <f t="shared" si="9"/>
        <v>10999.3151529539</v>
      </c>
      <c r="O12" s="1">
        <f t="shared" si="10"/>
        <v>0.358953533048407</v>
      </c>
      <c r="Q12" s="26"/>
    </row>
    <row r="13" spans="1:17">
      <c r="A13" s="25">
        <f>'H2O Calculations'!A17</f>
        <v>0.9</v>
      </c>
      <c r="B13" s="26">
        <f>'Calculo de Dk H2O'!B14</f>
        <v>1.00135093425582</v>
      </c>
      <c r="C13" s="26">
        <f>'Calculo de Dk H2O'!D14</f>
        <v>3.3560717032203</v>
      </c>
      <c r="D13" s="1">
        <f t="shared" si="0"/>
        <v>2749.84000837026</v>
      </c>
      <c r="E13" s="1">
        <f t="shared" si="11"/>
        <v>0.100958515042294</v>
      </c>
      <c r="F13" s="1">
        <f t="shared" si="1"/>
        <v>5499.68001674052</v>
      </c>
      <c r="G13" s="1">
        <f t="shared" si="2"/>
        <v>0.201917030084587</v>
      </c>
      <c r="H13" s="1">
        <f t="shared" si="3"/>
        <v>6731.6083404904</v>
      </c>
      <c r="I13" s="1">
        <f t="shared" si="4"/>
        <v>0.247146444822647</v>
      </c>
      <c r="J13" s="1">
        <f t="shared" si="5"/>
        <v>109.99360033481</v>
      </c>
      <c r="K13" s="1">
        <f t="shared" si="6"/>
        <v>0.00403834060169572</v>
      </c>
      <c r="L13" s="1">
        <f t="shared" si="7"/>
        <v>8249.52002511078</v>
      </c>
      <c r="M13" s="1">
        <f t="shared" si="8"/>
        <v>0.302875545126881</v>
      </c>
      <c r="N13" s="1">
        <f t="shared" si="9"/>
        <v>10999.360033481</v>
      </c>
      <c r="O13" s="1">
        <f t="shared" si="10"/>
        <v>0.403834060169174</v>
      </c>
      <c r="Q13" s="26"/>
    </row>
    <row r="14" spans="1:15">
      <c r="A14" s="25">
        <f>'H2O Calculations'!A18</f>
        <v>1</v>
      </c>
      <c r="B14" s="26">
        <f>'Calculo de Dk H2O'!B15</f>
        <v>1.0014413097251</v>
      </c>
      <c r="C14" s="26">
        <f>'Calculo de Dk H2O'!D15</f>
        <v>3.35609909227389</v>
      </c>
      <c r="D14" s="1">
        <f t="shared" si="0"/>
        <v>2749.85122913197</v>
      </c>
      <c r="E14" s="1">
        <f t="shared" si="11"/>
        <v>0.112179276747611</v>
      </c>
      <c r="F14" s="1">
        <f t="shared" si="1"/>
        <v>5499.70245826393</v>
      </c>
      <c r="G14" s="1">
        <f t="shared" si="2"/>
        <v>0.224358553495222</v>
      </c>
      <c r="H14" s="1">
        <f t="shared" si="3"/>
        <v>6731.63580891505</v>
      </c>
      <c r="I14" s="1">
        <f t="shared" si="4"/>
        <v>0.274614869477773</v>
      </c>
      <c r="J14" s="1">
        <f t="shared" si="5"/>
        <v>109.994049165279</v>
      </c>
      <c r="K14" s="1">
        <f t="shared" si="6"/>
        <v>0.00448717106991126</v>
      </c>
      <c r="L14" s="1">
        <f t="shared" si="7"/>
        <v>8249.5536873959</v>
      </c>
      <c r="M14" s="1">
        <f t="shared" si="8"/>
        <v>0.336537830242378</v>
      </c>
      <c r="N14" s="1">
        <f t="shared" si="9"/>
        <v>10999.4049165279</v>
      </c>
      <c r="O14" s="1">
        <f t="shared" si="10"/>
        <v>0.448717106990443</v>
      </c>
    </row>
    <row r="15" spans="1:15">
      <c r="A15" s="25">
        <f>'H2O Calculations'!A19</f>
        <v>2</v>
      </c>
      <c r="B15" s="26">
        <f>'Calculo de Dk H2O'!B16</f>
        <v>1.00234536385658</v>
      </c>
      <c r="C15" s="26">
        <f>'Calculo de Dk H2O'!D16</f>
        <v>3.35637307355725</v>
      </c>
      <c r="D15" s="1">
        <f t="shared" si="0"/>
        <v>2749.96347140674</v>
      </c>
      <c r="E15" s="1">
        <f t="shared" si="11"/>
        <v>0.224421551522028</v>
      </c>
      <c r="F15" s="1">
        <f t="shared" si="1"/>
        <v>5499.92694281348</v>
      </c>
      <c r="G15" s="1">
        <f t="shared" si="2"/>
        <v>0.448843103044055</v>
      </c>
      <c r="H15" s="1">
        <f t="shared" si="3"/>
        <v>6731.9105780037</v>
      </c>
      <c r="I15" s="1">
        <f t="shared" si="4"/>
        <v>0.549383958125873</v>
      </c>
      <c r="J15" s="1">
        <f t="shared" si="5"/>
        <v>109.99853885627</v>
      </c>
      <c r="K15" s="1">
        <f t="shared" si="6"/>
        <v>0.00897686206089077</v>
      </c>
      <c r="L15" s="1">
        <f t="shared" si="7"/>
        <v>8249.89041422022</v>
      </c>
      <c r="M15" s="1">
        <f t="shared" si="8"/>
        <v>0.673264654566083</v>
      </c>
      <c r="N15" s="1">
        <f t="shared" si="9"/>
        <v>10999.853885627</v>
      </c>
      <c r="O15" s="1">
        <f t="shared" si="10"/>
        <v>0.89768620608811</v>
      </c>
    </row>
    <row r="16" spans="1:15">
      <c r="A16" s="25">
        <f>'H2O Calculations'!A20</f>
        <v>3</v>
      </c>
      <c r="B16" s="26">
        <f>'Calculo de Dk H2O'!B17</f>
        <v>1.00324996276642</v>
      </c>
      <c r="C16" s="26">
        <f>'Calculo de Dk H2O'!D17</f>
        <v>3.35664721994031</v>
      </c>
      <c r="D16" s="1">
        <f t="shared" si="0"/>
        <v>2750.07577673291</v>
      </c>
      <c r="E16" s="1">
        <f t="shared" si="11"/>
        <v>0.336726877686942</v>
      </c>
      <c r="F16" s="1">
        <f t="shared" si="1"/>
        <v>5500.15155346581</v>
      </c>
      <c r="G16" s="1">
        <f t="shared" si="2"/>
        <v>0.673453755373885</v>
      </c>
      <c r="H16" s="1">
        <f t="shared" si="3"/>
        <v>6732.18550144215</v>
      </c>
      <c r="I16" s="1">
        <f t="shared" si="4"/>
        <v>0.824307396576842</v>
      </c>
      <c r="J16" s="1">
        <f t="shared" si="5"/>
        <v>110.003031069316</v>
      </c>
      <c r="K16" s="1">
        <f t="shared" si="6"/>
        <v>0.0134690751074658</v>
      </c>
      <c r="L16" s="1">
        <f t="shared" si="7"/>
        <v>8250.22733019872</v>
      </c>
      <c r="M16" s="1">
        <f t="shared" si="8"/>
        <v>1.01018063306037</v>
      </c>
      <c r="N16" s="1">
        <f t="shared" si="9"/>
        <v>11000.3031069316</v>
      </c>
      <c r="O16" s="1">
        <f t="shared" si="10"/>
        <v>1.34690751074777</v>
      </c>
    </row>
    <row r="17" spans="1:17">
      <c r="A17" s="25">
        <f>'H2O Calculations'!A21</f>
        <v>4</v>
      </c>
      <c r="B17" s="26">
        <f>'Calculo de Dk H2O'!B18</f>
        <v>1.00415510694717</v>
      </c>
      <c r="C17" s="26">
        <f>'Calculo de Dk H2O'!D18</f>
        <v>3.35692153157236</v>
      </c>
      <c r="D17" s="1">
        <f t="shared" si="0"/>
        <v>2750.18814516388</v>
      </c>
      <c r="E17" s="1">
        <f t="shared" si="11"/>
        <v>0.4490953086638</v>
      </c>
      <c r="F17" s="1">
        <f t="shared" si="1"/>
        <v>5500.37629032777</v>
      </c>
      <c r="G17" s="1">
        <f t="shared" si="2"/>
        <v>0.8981906173276</v>
      </c>
      <c r="H17" s="1">
        <f t="shared" si="3"/>
        <v>6732.46057936118</v>
      </c>
      <c r="I17" s="1">
        <f t="shared" si="4"/>
        <v>1.09938531560783</v>
      </c>
      <c r="J17" s="1">
        <f t="shared" si="5"/>
        <v>110.007525806555</v>
      </c>
      <c r="K17" s="1">
        <f t="shared" si="6"/>
        <v>0.0179638123465651</v>
      </c>
      <c r="L17" s="1">
        <f t="shared" si="7"/>
        <v>8250.56443549165</v>
      </c>
      <c r="M17" s="1">
        <f t="shared" si="8"/>
        <v>1.34728592599276</v>
      </c>
      <c r="N17" s="1">
        <f t="shared" si="9"/>
        <v>11000.7525806555</v>
      </c>
      <c r="O17" s="1">
        <f t="shared" si="10"/>
        <v>1.7963812346552</v>
      </c>
      <c r="Q17" s="26"/>
    </row>
    <row r="18" spans="1:17">
      <c r="A18" s="25">
        <f>'H2O Calculations'!A22</f>
        <v>5</v>
      </c>
      <c r="B18" s="26">
        <f>'Calculo de Dk H2O'!B19</f>
        <v>1.00506079689202</v>
      </c>
      <c r="C18" s="26">
        <f>'Calculo de Dk H2O'!D19</f>
        <v>3.35719600860285</v>
      </c>
      <c r="D18" s="1">
        <f t="shared" si="0"/>
        <v>2750.30057675316</v>
      </c>
      <c r="E18" s="1">
        <f t="shared" si="11"/>
        <v>0.561526897941803</v>
      </c>
      <c r="F18" s="1">
        <f t="shared" si="1"/>
        <v>5500.60115350632</v>
      </c>
      <c r="G18" s="1">
        <f t="shared" si="2"/>
        <v>1.12305379588361</v>
      </c>
      <c r="H18" s="1">
        <f t="shared" si="3"/>
        <v>6732.73581189174</v>
      </c>
      <c r="I18" s="1">
        <f t="shared" si="4"/>
        <v>1.37461784615971</v>
      </c>
      <c r="J18" s="1">
        <f t="shared" si="5"/>
        <v>110.012023070126</v>
      </c>
      <c r="K18" s="1">
        <f t="shared" si="6"/>
        <v>0.0224610759176613</v>
      </c>
      <c r="L18" s="1">
        <f t="shared" si="7"/>
        <v>8250.90173025948</v>
      </c>
      <c r="M18" s="1">
        <f t="shared" si="8"/>
        <v>1.68458069382541</v>
      </c>
      <c r="N18" s="1">
        <f t="shared" si="9"/>
        <v>11001.2023070126</v>
      </c>
      <c r="O18" s="1">
        <f t="shared" si="10"/>
        <v>2.24610759176721</v>
      </c>
      <c r="Q18" s="26"/>
    </row>
    <row r="19" spans="1:17">
      <c r="A19" s="25">
        <f>'H2O Calculations'!A23</f>
        <v>6</v>
      </c>
      <c r="B19" s="26">
        <f>'Calculo de Dk H2O'!B20</f>
        <v>1.00596703309471</v>
      </c>
      <c r="C19" s="26">
        <f>'Calculo de Dk H2O'!D20</f>
        <v>3.35747065118142</v>
      </c>
      <c r="D19" s="1">
        <f t="shared" si="0"/>
        <v>2750.41307155428</v>
      </c>
      <c r="E19" s="1">
        <f t="shared" si="11"/>
        <v>0.674021699062905</v>
      </c>
      <c r="F19" s="1">
        <f t="shared" si="1"/>
        <v>5500.82614310856</v>
      </c>
      <c r="G19" s="1">
        <f t="shared" si="2"/>
        <v>1.34804339812581</v>
      </c>
      <c r="H19" s="1">
        <f t="shared" si="3"/>
        <v>6733.01119916488</v>
      </c>
      <c r="I19" s="1">
        <f t="shared" si="4"/>
        <v>1.65000511930521</v>
      </c>
      <c r="J19" s="1">
        <f t="shared" si="5"/>
        <v>110.016522862171</v>
      </c>
      <c r="K19" s="1">
        <f t="shared" si="6"/>
        <v>0.0269608679625293</v>
      </c>
      <c r="L19" s="1">
        <f t="shared" si="7"/>
        <v>8251.23921466285</v>
      </c>
      <c r="M19" s="1">
        <f t="shared" si="8"/>
        <v>2.02206509718962</v>
      </c>
      <c r="N19" s="1">
        <f t="shared" si="9"/>
        <v>11001.6522862171</v>
      </c>
      <c r="O19" s="1">
        <f t="shared" si="10"/>
        <v>2.69608679625162</v>
      </c>
      <c r="Q19" s="26"/>
    </row>
    <row r="20" spans="1:17">
      <c r="A20" s="25">
        <f>'H2O Calculations'!A24</f>
        <v>7</v>
      </c>
      <c r="B20" s="26">
        <f>'Calculo de Dk H2O'!B21</f>
        <v>1.00687381604959</v>
      </c>
      <c r="C20" s="26">
        <f>'Calculo de Dk H2O'!D21</f>
        <v>3.35774545945789</v>
      </c>
      <c r="D20" s="1">
        <f t="shared" si="0"/>
        <v>2750.52562962085</v>
      </c>
      <c r="E20" s="1">
        <f t="shared" si="11"/>
        <v>0.786579765634087</v>
      </c>
      <c r="F20" s="1">
        <f t="shared" si="1"/>
        <v>5501.05125924171</v>
      </c>
      <c r="G20" s="1">
        <f t="shared" si="2"/>
        <v>1.57315953126817</v>
      </c>
      <c r="H20" s="1">
        <f t="shared" si="3"/>
        <v>6733.28674131185</v>
      </c>
      <c r="I20" s="1">
        <f t="shared" si="4"/>
        <v>1.92554726627259</v>
      </c>
      <c r="J20" s="1">
        <f t="shared" si="5"/>
        <v>110.021025184834</v>
      </c>
      <c r="K20" s="1">
        <f t="shared" si="6"/>
        <v>0.0314631906253737</v>
      </c>
      <c r="L20" s="1">
        <f t="shared" si="7"/>
        <v>8251.57688886256</v>
      </c>
      <c r="M20" s="1">
        <f t="shared" si="8"/>
        <v>2.35973929690226</v>
      </c>
      <c r="N20" s="1">
        <f t="shared" si="9"/>
        <v>11002.1025184834</v>
      </c>
      <c r="O20" s="1">
        <f t="shared" si="10"/>
        <v>3.14631906253635</v>
      </c>
      <c r="Q20" s="26"/>
    </row>
    <row r="21" spans="1:17">
      <c r="A21" s="25">
        <f>'H2O Calculations'!A25</f>
        <v>8</v>
      </c>
      <c r="B21" s="26">
        <f>'Calculo de Dk H2O'!B22</f>
        <v>1.00778114625163</v>
      </c>
      <c r="C21" s="26">
        <f>'Calculo de Dk H2O'!D22</f>
        <v>3.35802043358225</v>
      </c>
      <c r="D21" s="1">
        <f t="shared" si="0"/>
        <v>2750.63825100654</v>
      </c>
      <c r="E21" s="1">
        <f t="shared" si="11"/>
        <v>0.899201151325087</v>
      </c>
      <c r="F21" s="1">
        <f t="shared" si="1"/>
        <v>5501.27650201309</v>
      </c>
      <c r="G21" s="1">
        <f t="shared" si="2"/>
        <v>1.79840230265017</v>
      </c>
      <c r="H21" s="1">
        <f t="shared" si="3"/>
        <v>6733.56243846402</v>
      </c>
      <c r="I21" s="1">
        <f t="shared" si="4"/>
        <v>2.20124441844382</v>
      </c>
      <c r="J21" s="1">
        <f t="shared" si="5"/>
        <v>110.025530040262</v>
      </c>
      <c r="K21" s="1">
        <f t="shared" si="6"/>
        <v>0.0359680460530143</v>
      </c>
      <c r="L21" s="1">
        <f t="shared" si="7"/>
        <v>8251.91475301963</v>
      </c>
      <c r="M21" s="1">
        <f t="shared" si="8"/>
        <v>2.69760345397663</v>
      </c>
      <c r="N21" s="1">
        <f t="shared" si="9"/>
        <v>11002.5530040262</v>
      </c>
      <c r="O21" s="1">
        <f t="shared" si="10"/>
        <v>3.59680460530035</v>
      </c>
      <c r="Q21" s="26"/>
    </row>
    <row r="22" spans="1:17">
      <c r="A22" s="25">
        <f>'H2O Calculations'!A26</f>
        <v>9</v>
      </c>
      <c r="B22" s="26">
        <f>'Calculo de Dk H2O'!B23</f>
        <v>1.00868902419636</v>
      </c>
      <c r="C22" s="26">
        <f>'Calculo de Dk H2O'!D23</f>
        <v>3.35829557370469</v>
      </c>
      <c r="D22" s="1">
        <f t="shared" si="0"/>
        <v>2750.75093576508</v>
      </c>
      <c r="E22" s="1">
        <f t="shared" si="11"/>
        <v>1.01188590986203</v>
      </c>
      <c r="F22" s="1">
        <f t="shared" si="1"/>
        <v>5501.50187153016</v>
      </c>
      <c r="G22" s="1">
        <f t="shared" si="2"/>
        <v>2.02377181972406</v>
      </c>
      <c r="H22" s="1">
        <f t="shared" si="3"/>
        <v>6733.83829075292</v>
      </c>
      <c r="I22" s="1">
        <f t="shared" si="4"/>
        <v>2.47709670734184</v>
      </c>
      <c r="J22" s="1">
        <f t="shared" si="5"/>
        <v>110.030037430603</v>
      </c>
      <c r="K22" s="1">
        <f t="shared" si="6"/>
        <v>0.0404754363944875</v>
      </c>
      <c r="L22" s="1">
        <f t="shared" si="7"/>
        <v>8252.25280729524</v>
      </c>
      <c r="M22" s="1">
        <f t="shared" si="8"/>
        <v>3.03565772958609</v>
      </c>
      <c r="N22" s="1">
        <f t="shared" si="9"/>
        <v>11003.0037430603</v>
      </c>
      <c r="O22" s="1">
        <f t="shared" si="10"/>
        <v>4.04754363944812</v>
      </c>
      <c r="Q22" s="26"/>
    </row>
    <row r="23" spans="1:15">
      <c r="A23" s="25">
        <f>'H2O Calculations'!A27</f>
        <v>10</v>
      </c>
      <c r="B23" s="26">
        <f>'Calculo de Dk H2O'!B24</f>
        <v>1.00959745037993</v>
      </c>
      <c r="C23" s="26">
        <f>'Calculo de Dk H2O'!D24</f>
        <v>3.35857087997557</v>
      </c>
      <c r="D23" s="1">
        <f t="shared" si="0"/>
        <v>2750.86368395025</v>
      </c>
      <c r="E23" s="1">
        <f t="shared" si="11"/>
        <v>1.12463409503471</v>
      </c>
      <c r="F23" s="1">
        <f t="shared" si="1"/>
        <v>5501.72736790051</v>
      </c>
      <c r="G23" s="1">
        <f t="shared" si="2"/>
        <v>2.24926819006942</v>
      </c>
      <c r="H23" s="1">
        <f t="shared" si="3"/>
        <v>6734.11429831022</v>
      </c>
      <c r="I23" s="1">
        <f t="shared" si="4"/>
        <v>2.7531042646433</v>
      </c>
      <c r="J23" s="1">
        <f t="shared" si="5"/>
        <v>110.03454735801</v>
      </c>
      <c r="K23" s="1">
        <f t="shared" si="6"/>
        <v>0.0449853638013877</v>
      </c>
      <c r="L23" s="1">
        <f t="shared" si="7"/>
        <v>8252.59105185076</v>
      </c>
      <c r="M23" s="1">
        <f t="shared" si="8"/>
        <v>3.37390228510412</v>
      </c>
      <c r="N23" s="1">
        <f t="shared" si="9"/>
        <v>11003.454735801</v>
      </c>
      <c r="O23" s="1">
        <f t="shared" si="10"/>
        <v>4.49853638013883</v>
      </c>
    </row>
    <row r="24" spans="1:15">
      <c r="A24" s="25">
        <f>'H2O Calculations'!A28</f>
        <v>20</v>
      </c>
      <c r="B24" s="26">
        <f>'Calculo de Dk H2O'!B25</f>
        <v>1.01871197493415</v>
      </c>
      <c r="C24" s="26">
        <f>'Calculo de Dk H2O'!D25</f>
        <v>3.36133311405823</v>
      </c>
      <c r="D24" s="1">
        <f t="shared" si="0"/>
        <v>2751.99466614451</v>
      </c>
      <c r="E24" s="1">
        <f t="shared" si="11"/>
        <v>2.25561628929427</v>
      </c>
      <c r="F24" s="1">
        <f t="shared" si="1"/>
        <v>5503.98933228903</v>
      </c>
      <c r="G24" s="1">
        <f t="shared" si="2"/>
        <v>4.51123257858853</v>
      </c>
      <c r="H24" s="1">
        <f t="shared" si="3"/>
        <v>6736.88294272177</v>
      </c>
      <c r="I24" s="1">
        <f t="shared" si="4"/>
        <v>5.52174867619215</v>
      </c>
      <c r="J24" s="1">
        <f t="shared" si="5"/>
        <v>110.079786645781</v>
      </c>
      <c r="K24" s="1">
        <f t="shared" si="6"/>
        <v>0.0902246515717735</v>
      </c>
      <c r="L24" s="1">
        <f t="shared" si="7"/>
        <v>8255.98399843354</v>
      </c>
      <c r="M24" s="1">
        <f t="shared" si="8"/>
        <v>6.7668488678828</v>
      </c>
      <c r="N24" s="1">
        <f t="shared" si="9"/>
        <v>11007.9786645781</v>
      </c>
      <c r="O24" s="1">
        <f t="shared" si="10"/>
        <v>9.02246515717707</v>
      </c>
    </row>
    <row r="25" spans="1:17">
      <c r="A25" s="25">
        <f>'H2O Calculations'!A29</f>
        <v>30</v>
      </c>
      <c r="B25" s="26">
        <f>'Calculo de Dk H2O'!B26</f>
        <v>1.02788187361308</v>
      </c>
      <c r="C25" s="26">
        <f>'Calculo de Dk H2O'!D26</f>
        <v>3.36411212973973</v>
      </c>
      <c r="D25" s="1">
        <f t="shared" si="0"/>
        <v>2753.13205062784</v>
      </c>
      <c r="E25" s="1">
        <f t="shared" si="11"/>
        <v>3.3930007726226</v>
      </c>
      <c r="F25" s="1">
        <f t="shared" si="1"/>
        <v>5506.26410125568</v>
      </c>
      <c r="G25" s="1">
        <f t="shared" si="2"/>
        <v>6.7860015452452</v>
      </c>
      <c r="H25" s="1">
        <f t="shared" si="3"/>
        <v>6739.66725993696</v>
      </c>
      <c r="I25" s="1">
        <f t="shared" si="4"/>
        <v>8.30606589138006</v>
      </c>
      <c r="J25" s="1">
        <f t="shared" si="5"/>
        <v>110.125282025114</v>
      </c>
      <c r="K25" s="1">
        <f t="shared" si="6"/>
        <v>0.135720030904906</v>
      </c>
      <c r="L25" s="1">
        <f t="shared" si="7"/>
        <v>8259.39615188353</v>
      </c>
      <c r="M25" s="1">
        <f t="shared" si="8"/>
        <v>10.1790023178692</v>
      </c>
      <c r="N25" s="1">
        <f t="shared" si="9"/>
        <v>11012.5282025114</v>
      </c>
      <c r="O25" s="1">
        <f t="shared" si="10"/>
        <v>13.5720030904904</v>
      </c>
      <c r="Q25" s="26"/>
    </row>
    <row r="26" spans="1:17">
      <c r="A26" s="25">
        <f>'H2O Calculations'!A30</f>
        <v>40</v>
      </c>
      <c r="B26" s="26">
        <f>'Calculo de Dk H2O'!B27</f>
        <v>1.03710765258186</v>
      </c>
      <c r="C26" s="26">
        <f>'Calculo de Dk H2O'!D27</f>
        <v>3.36690808041769</v>
      </c>
      <c r="D26" s="1">
        <f t="shared" si="0"/>
        <v>2754.27589221166</v>
      </c>
      <c r="E26" s="1">
        <f t="shared" si="11"/>
        <v>4.53684235644323</v>
      </c>
      <c r="F26" s="1">
        <f t="shared" si="1"/>
        <v>5508.55178442332</v>
      </c>
      <c r="G26" s="1">
        <f t="shared" si="2"/>
        <v>9.07368471288646</v>
      </c>
      <c r="H26" s="1">
        <f t="shared" si="3"/>
        <v>6742.46738413415</v>
      </c>
      <c r="I26" s="1">
        <f t="shared" si="4"/>
        <v>11.1061900885734</v>
      </c>
      <c r="J26" s="1">
        <f t="shared" si="5"/>
        <v>110.171035688467</v>
      </c>
      <c r="K26" s="1">
        <f t="shared" si="6"/>
        <v>0.181473694257747</v>
      </c>
      <c r="L26" s="1">
        <f t="shared" si="7"/>
        <v>8262.82767663499</v>
      </c>
      <c r="M26" s="1">
        <f t="shared" si="8"/>
        <v>13.6105270693315</v>
      </c>
      <c r="N26" s="1">
        <f t="shared" si="9"/>
        <v>11017.1035688466</v>
      </c>
      <c r="O26" s="1">
        <f t="shared" si="10"/>
        <v>18.1473694257729</v>
      </c>
      <c r="Q26" s="26"/>
    </row>
    <row r="27" spans="1:17">
      <c r="A27" s="25">
        <f>'H2O Calculations'!A31</f>
        <v>50</v>
      </c>
      <c r="B27" s="26">
        <f>'Calculo de Dk H2O'!B28</f>
        <v>1.04638982419353</v>
      </c>
      <c r="C27" s="26">
        <f>'Calculo de Dk H2O'!D28</f>
        <v>3.36972112136507</v>
      </c>
      <c r="D27" s="1">
        <f t="shared" si="0"/>
        <v>2755.42624633796</v>
      </c>
      <c r="E27" s="1">
        <f t="shared" si="11"/>
        <v>5.68719648274146</v>
      </c>
      <c r="F27" s="1">
        <f t="shared" si="1"/>
        <v>5510.85249267592</v>
      </c>
      <c r="G27" s="1">
        <f t="shared" si="2"/>
        <v>11.3743929654829</v>
      </c>
      <c r="H27" s="1">
        <f t="shared" si="3"/>
        <v>6745.28345103533</v>
      </c>
      <c r="I27" s="1">
        <f t="shared" si="4"/>
        <v>13.9222569897511</v>
      </c>
      <c r="J27" s="1">
        <f t="shared" si="5"/>
        <v>110.217049853518</v>
      </c>
      <c r="K27" s="1">
        <f t="shared" si="6"/>
        <v>0.227487859309676</v>
      </c>
      <c r="L27" s="1">
        <f t="shared" si="7"/>
        <v>8266.27873901388</v>
      </c>
      <c r="M27" s="1">
        <f t="shared" si="8"/>
        <v>17.0615894482253</v>
      </c>
      <c r="N27" s="1">
        <f t="shared" si="9"/>
        <v>11021.7049853518</v>
      </c>
      <c r="O27" s="1">
        <f t="shared" si="10"/>
        <v>22.7487859309658</v>
      </c>
      <c r="Q27" s="26"/>
    </row>
    <row r="28" spans="1:17">
      <c r="A28" s="25">
        <f>'H2O Calculations'!A32</f>
        <v>60</v>
      </c>
      <c r="B28" s="26">
        <f>'Calculo de Dk H2O'!B29</f>
        <v>1.05572890708386</v>
      </c>
      <c r="C28" s="26">
        <f>'Calculo de Dk H2O'!D29</f>
        <v>3.37255140975883</v>
      </c>
      <c r="D28" s="1">
        <f t="shared" si="0"/>
        <v>2756.58316908842</v>
      </c>
      <c r="E28" s="1">
        <f t="shared" si="11"/>
        <v>6.8441192331984</v>
      </c>
      <c r="F28" s="1">
        <f t="shared" si="1"/>
        <v>5513.16633817683</v>
      </c>
      <c r="G28" s="1">
        <f t="shared" si="2"/>
        <v>13.6882384663968</v>
      </c>
      <c r="H28" s="1">
        <f t="shared" si="3"/>
        <v>6748.11559792845</v>
      </c>
      <c r="I28" s="1">
        <f t="shared" si="4"/>
        <v>16.7544038828692</v>
      </c>
      <c r="J28" s="1">
        <f t="shared" si="5"/>
        <v>110.263326763537</v>
      </c>
      <c r="K28" s="1">
        <f t="shared" si="6"/>
        <v>0.273764769327954</v>
      </c>
      <c r="L28" s="1">
        <f t="shared" si="7"/>
        <v>8269.74950726525</v>
      </c>
      <c r="M28" s="1">
        <f t="shared" si="8"/>
        <v>20.5323576995961</v>
      </c>
      <c r="N28" s="1">
        <f t="shared" si="9"/>
        <v>11026.3326763537</v>
      </c>
      <c r="O28" s="1">
        <f t="shared" si="10"/>
        <v>27.3764769327936</v>
      </c>
      <c r="Q28" s="26"/>
    </row>
    <row r="29" spans="1:17">
      <c r="A29" s="25">
        <f>'H2O Calculations'!A33</f>
        <v>70</v>
      </c>
      <c r="B29" s="26">
        <f>'Calculo de Dk H2O'!B30</f>
        <v>1.06512542626792</v>
      </c>
      <c r="C29" s="26">
        <f>'Calculo de Dk H2O'!D30</f>
        <v>3.37539910470926</v>
      </c>
      <c r="D29" s="1">
        <f t="shared" si="0"/>
        <v>2757.7467171937</v>
      </c>
      <c r="E29" s="1">
        <f t="shared" si="11"/>
        <v>8.00766733848195</v>
      </c>
      <c r="F29" s="1">
        <f t="shared" si="1"/>
        <v>5515.4934343874</v>
      </c>
      <c r="G29" s="1">
        <f t="shared" si="2"/>
        <v>16.0153346769639</v>
      </c>
      <c r="H29" s="1">
        <f t="shared" si="3"/>
        <v>6750.96396369018</v>
      </c>
      <c r="I29" s="1">
        <f t="shared" si="4"/>
        <v>19.6027696446035</v>
      </c>
      <c r="J29" s="1">
        <f t="shared" si="5"/>
        <v>110.309868687748</v>
      </c>
      <c r="K29" s="1">
        <f t="shared" si="6"/>
        <v>0.320306693539294</v>
      </c>
      <c r="L29" s="1">
        <f t="shared" si="7"/>
        <v>8273.2401515811</v>
      </c>
      <c r="M29" s="1">
        <f t="shared" si="8"/>
        <v>24.0230020154468</v>
      </c>
      <c r="N29" s="1">
        <f t="shared" si="9"/>
        <v>11030.9868687748</v>
      </c>
      <c r="O29" s="1">
        <f t="shared" si="10"/>
        <v>32.0306693539278</v>
      </c>
      <c r="Q29" s="26"/>
    </row>
    <row r="30" spans="1:17">
      <c r="A30" s="25">
        <f>'H2O Calculations'!A34</f>
        <v>80</v>
      </c>
      <c r="B30" s="26">
        <f>'Calculo de Dk H2O'!B31</f>
        <v>1.0745799132385</v>
      </c>
      <c r="C30" s="26">
        <f>'Calculo de Dk H2O'!D31</f>
        <v>3.37826436728976</v>
      </c>
      <c r="D30" s="1">
        <f t="shared" si="0"/>
        <v>2758.91694804293</v>
      </c>
      <c r="E30" s="1">
        <f t="shared" si="11"/>
        <v>9.17789818770916</v>
      </c>
      <c r="F30" s="1">
        <f t="shared" si="1"/>
        <v>5517.83389608586</v>
      </c>
      <c r="G30" s="1">
        <f t="shared" si="2"/>
        <v>18.3557963754183</v>
      </c>
      <c r="H30" s="1">
        <f t="shared" si="3"/>
        <v>6753.82868880909</v>
      </c>
      <c r="I30" s="1">
        <f t="shared" si="4"/>
        <v>22.4674947635103</v>
      </c>
      <c r="J30" s="1">
        <f t="shared" si="5"/>
        <v>110.356677921717</v>
      </c>
      <c r="K30" s="1">
        <f t="shared" si="6"/>
        <v>0.367115927508365</v>
      </c>
      <c r="L30" s="1">
        <f t="shared" si="7"/>
        <v>8276.75084412878</v>
      </c>
      <c r="M30" s="1">
        <f t="shared" si="8"/>
        <v>27.5336945631261</v>
      </c>
      <c r="N30" s="1">
        <f t="shared" si="9"/>
        <v>11035.6677921717</v>
      </c>
      <c r="O30" s="1">
        <f t="shared" si="10"/>
        <v>36.7115927508366</v>
      </c>
      <c r="Q30" s="26"/>
    </row>
    <row r="31" spans="1:17">
      <c r="A31" s="25">
        <f>'H2O Calculations'!A35</f>
        <v>90</v>
      </c>
      <c r="B31" s="26">
        <f>'Calculo de Dk H2O'!B32</f>
        <v>1.08409290606633</v>
      </c>
      <c r="C31" s="26">
        <f>'Calculo de Dk H2O'!D32</f>
        <v>3.38114736056723</v>
      </c>
      <c r="D31" s="1">
        <f t="shared" si="0"/>
        <v>2760.09391969329</v>
      </c>
      <c r="E31" s="1">
        <f t="shared" si="11"/>
        <v>10.3548698380696</v>
      </c>
      <c r="F31" s="1">
        <f t="shared" si="1"/>
        <v>5520.18783938658</v>
      </c>
      <c r="G31" s="1">
        <f t="shared" si="2"/>
        <v>20.7097396761392</v>
      </c>
      <c r="H31" s="1">
        <f t="shared" si="3"/>
        <v>6756.70991540917</v>
      </c>
      <c r="I31" s="1">
        <f t="shared" si="4"/>
        <v>25.3487213635935</v>
      </c>
      <c r="J31" s="1">
        <f t="shared" si="5"/>
        <v>110.403756787732</v>
      </c>
      <c r="K31" s="1">
        <f t="shared" si="6"/>
        <v>0.414194793522782</v>
      </c>
      <c r="L31" s="1">
        <f t="shared" si="7"/>
        <v>8280.28175907987</v>
      </c>
      <c r="M31" s="1">
        <f t="shared" si="8"/>
        <v>31.0646095142092</v>
      </c>
      <c r="N31" s="1">
        <f t="shared" si="9"/>
        <v>11040.3756787732</v>
      </c>
      <c r="O31" s="1">
        <f t="shared" si="10"/>
        <v>41.4194793522784</v>
      </c>
      <c r="Q31" s="26"/>
    </row>
    <row r="32" spans="1:15">
      <c r="A32" s="25">
        <f>'H2O Calculations'!A36</f>
        <v>100</v>
      </c>
      <c r="B32" s="26">
        <f>'Calculo de Dk H2O'!B33</f>
        <v>1.09366494950212</v>
      </c>
      <c r="C32" s="26">
        <f>'Calculo de Dk H2O'!D33</f>
        <v>3.38404824963301</v>
      </c>
      <c r="D32" s="1">
        <f t="shared" si="0"/>
        <v>2761.27769087984</v>
      </c>
      <c r="E32" s="1">
        <f t="shared" si="11"/>
        <v>11.5386410246178</v>
      </c>
      <c r="F32" s="1">
        <f t="shared" si="1"/>
        <v>5522.55538175967</v>
      </c>
      <c r="G32" s="1">
        <f t="shared" si="2"/>
        <v>23.0772820492357</v>
      </c>
      <c r="H32" s="1">
        <f t="shared" si="3"/>
        <v>6759.60778727384</v>
      </c>
      <c r="I32" s="1">
        <f t="shared" si="4"/>
        <v>28.2465932282639</v>
      </c>
      <c r="J32" s="1">
        <f t="shared" si="5"/>
        <v>110.451107635193</v>
      </c>
      <c r="K32" s="1">
        <f t="shared" si="6"/>
        <v>0.46154564098471</v>
      </c>
      <c r="L32" s="1">
        <f t="shared" si="7"/>
        <v>8283.83307263951</v>
      </c>
      <c r="M32" s="1">
        <f t="shared" si="8"/>
        <v>34.615923073854</v>
      </c>
      <c r="N32" s="1">
        <f t="shared" si="9"/>
        <v>11045.1107635193</v>
      </c>
      <c r="O32" s="1">
        <f t="shared" si="10"/>
        <v>46.1545640984714</v>
      </c>
    </row>
    <row r="36" spans="4:5">
      <c r="D36" s="1" t="s">
        <v>116</v>
      </c>
      <c r="E36" s="1" t="s">
        <v>29</v>
      </c>
    </row>
    <row r="37" spans="4:5">
      <c r="D37" s="27">
        <f>5000000000</f>
        <v>5000000000</v>
      </c>
      <c r="E37" s="27">
        <f>299792458</f>
        <v>299792458</v>
      </c>
    </row>
    <row r="43" spans="4:6">
      <c r="D43" s="1">
        <f>0.000006055611</f>
        <v>6.055611e-6</v>
      </c>
      <c r="E43" s="1">
        <f>D43*D2</f>
        <v>1.51390275e-6</v>
      </c>
      <c r="F43" s="1" t="s">
        <v>117</v>
      </c>
    </row>
    <row r="44" spans="8:11">
      <c r="H44" s="28">
        <v>0.01</v>
      </c>
      <c r="I44" s="28">
        <v>0.612</v>
      </c>
      <c r="K44" s="28"/>
    </row>
    <row r="45" spans="4:11">
      <c r="D45" s="1" t="s">
        <v>118</v>
      </c>
      <c r="E45" s="1">
        <f>1/SQRT(2)</f>
        <v>0.707106781186547</v>
      </c>
      <c r="H45" s="1" t="s">
        <v>104</v>
      </c>
      <c r="I45" s="1" t="s">
        <v>104</v>
      </c>
      <c r="J45" s="29" t="s">
        <v>119</v>
      </c>
      <c r="K45" s="29" t="s">
        <v>119</v>
      </c>
    </row>
    <row r="46" spans="8:13">
      <c r="H46" s="1">
        <f>$H$44*360*$D$37*SQRT(C4*1)/$E$37</f>
        <v>109.989561994209</v>
      </c>
      <c r="I46" s="1">
        <f>$I$44*360*$D$37*SQRT(C4*1)/$E$37</f>
        <v>6731.36119404558</v>
      </c>
      <c r="J46" s="1">
        <f>I46-H46</f>
        <v>6621.37163205137</v>
      </c>
      <c r="K46" s="1">
        <f>MOD(J46,360)</f>
        <v>141.371632051368</v>
      </c>
      <c r="L46" s="1">
        <f>ABS(SQRT(2)*$E$45*COS((K46*PI()/180)/2))</f>
        <v>0.33074802716517</v>
      </c>
      <c r="M46" s="1">
        <f>$L$46-L46</f>
        <v>0</v>
      </c>
    </row>
    <row r="47" spans="8:13">
      <c r="H47" s="1">
        <f>$H$44*360*$D$37*SQRT(C5*1)/$E$37</f>
        <v>109.99001059798</v>
      </c>
      <c r="I47" s="1">
        <f>$I$44*360*$D$37*SQRT(C5*1)/$E$37</f>
        <v>6731.38864859638</v>
      </c>
      <c r="J47" s="1">
        <f>I47-H47</f>
        <v>6621.3986379984</v>
      </c>
      <c r="K47" s="1">
        <f>MOD(J47,360)</f>
        <v>141.3986379984</v>
      </c>
      <c r="L47" s="1">
        <f>ABS(SQRT(2)*$E$45*COS((K47*PI()/180)/2))</f>
        <v>0.33052561043067</v>
      </c>
      <c r="M47" s="1">
        <f>$L$46-L47</f>
        <v>0.000222416734499853</v>
      </c>
    </row>
    <row r="48" spans="8:13">
      <c r="H48" s="1">
        <f>$H$44*360*$D$37*SQRT(C14*1)/$E$37</f>
        <v>109.994049165279</v>
      </c>
      <c r="I48" s="1">
        <f>$I$44*360*$D$37*SQRT(C14*1)/$E$37</f>
        <v>6731.63580891505</v>
      </c>
      <c r="J48" s="1">
        <f>I48-H48</f>
        <v>6621.64175974978</v>
      </c>
      <c r="K48" s="1">
        <f>MOD(J48,360)</f>
        <v>141.641759749776</v>
      </c>
      <c r="L48" s="1">
        <f>ABS(SQRT(2)*$E$45*COS((K48*PI()/180)/2))</f>
        <v>0.32852247285042</v>
      </c>
      <c r="M48" s="1">
        <f>$L$46-L48</f>
        <v>0.00222555431474963</v>
      </c>
    </row>
    <row r="49" spans="8:13">
      <c r="H49" s="1">
        <f>$H$44*360*$D$37*SQRT(C23*1)/$E$37</f>
        <v>110.03454735801</v>
      </c>
      <c r="I49" s="1">
        <f>$I$44*360*$D$37*SQRT(C23*1)/$E$37</f>
        <v>6734.11429831022</v>
      </c>
      <c r="J49" s="1">
        <f>I49-H49</f>
        <v>6624.07975095221</v>
      </c>
      <c r="K49" s="1">
        <f>MOD(J49,360)</f>
        <v>144.07975095221</v>
      </c>
      <c r="L49" s="1">
        <f>ABS(SQRT(2)*$E$45*COS((K49*PI()/180)/2))</f>
        <v>0.308355023868226</v>
      </c>
      <c r="M49" s="1">
        <f>$L$46-L49</f>
        <v>0.022393003296944</v>
      </c>
    </row>
    <row r="50" spans="8:13">
      <c r="H50" s="1">
        <f>$H$44*360*$D$37*SQRT(C32*1)/$E$37</f>
        <v>110.451107635193</v>
      </c>
      <c r="I50" s="1">
        <f>$I$44*360*$D$37*SQRT(C32*1)/$E$37</f>
        <v>6759.60778727384</v>
      </c>
      <c r="J50" s="1">
        <f>I50-H50</f>
        <v>6649.15667963865</v>
      </c>
      <c r="K50" s="1">
        <f>MOD(J50,360)</f>
        <v>169.156679638647</v>
      </c>
      <c r="L50" s="1">
        <f>ABS(SQRT(2)*$E$45*COS((K50*PI()/180)/2))</f>
        <v>0.0944846702927484</v>
      </c>
      <c r="M50" s="1">
        <f>$L$46-L50</f>
        <v>0.236263356872422</v>
      </c>
    </row>
    <row r="53" spans="5:8">
      <c r="E53" s="28">
        <v>0.01</v>
      </c>
      <c r="F53" s="28">
        <v>0.612</v>
      </c>
      <c r="H53" s="28"/>
    </row>
    <row r="54" spans="5:9">
      <c r="E54" s="1" t="s">
        <v>104</v>
      </c>
      <c r="F54" s="1" t="s">
        <v>104</v>
      </c>
      <c r="G54" s="29" t="s">
        <v>119</v>
      </c>
      <c r="H54" s="29" t="s">
        <v>120</v>
      </c>
      <c r="I54" s="1" t="s">
        <v>121</v>
      </c>
    </row>
    <row r="55" spans="5:12">
      <c r="E55" s="1">
        <f>$H$44*360*$D$37*SQRT(C4*1)/$E$37</f>
        <v>109.989561994209</v>
      </c>
      <c r="F55" s="1">
        <f>$I$44*360*$D$37*SQRT(C4*1)/$E$37</f>
        <v>6731.36119404558</v>
      </c>
      <c r="G55" s="1">
        <f t="shared" ref="G55:G59" si="12">F55-E55</f>
        <v>6621.37163205137</v>
      </c>
      <c r="H55" s="1">
        <f t="shared" ref="H55:H59" si="13">MOD(G55,360)</f>
        <v>141.371632051368</v>
      </c>
      <c r="I55" s="1">
        <f>ABS(SQRT(2)*$E$45*COS((H55*PI()/180)/2))</f>
        <v>0.33074802716517</v>
      </c>
      <c r="K55" s="1">
        <v>90</v>
      </c>
      <c r="L55" s="1">
        <f>ABS(SQRT(2)*$E$45*COS((K55*PI()/180)/2))</f>
        <v>0.707106781186548</v>
      </c>
    </row>
    <row r="56" spans="5:12">
      <c r="E56" s="1">
        <f t="shared" ref="E56:E75" si="14">$H$44*360*$D$37*SQRT(C5*1)/$E$37</f>
        <v>109.99001059798</v>
      </c>
      <c r="F56" s="1">
        <f>$I$44*360*$D$37*SQRT(C5*1)/$E$37</f>
        <v>6731.38864859638</v>
      </c>
      <c r="G56" s="1">
        <f t="shared" si="12"/>
        <v>6621.3986379984</v>
      </c>
      <c r="H56" s="1">
        <f t="shared" si="13"/>
        <v>141.3986379984</v>
      </c>
      <c r="I56" s="1">
        <f t="shared" ref="I56:I83" si="15">ABS(SQRT(2)*$E$45*COS((H56*PI()/180)/2))</f>
        <v>0.33052561043067</v>
      </c>
      <c r="K56" s="1">
        <f>K55+1</f>
        <v>91</v>
      </c>
      <c r="L56" s="1">
        <f t="shared" ref="L56:L87" si="16">ABS(SQRT(2)*$E$45*COS((K56*PI()/180)/2))</f>
        <v>0.700909264299851</v>
      </c>
    </row>
    <row r="57" spans="5:12">
      <c r="E57" s="1">
        <f t="shared" si="14"/>
        <v>109.990459226931</v>
      </c>
      <c r="F57" s="1">
        <f>$I$44*360*$D$37*SQRT(C6*1)/$E$37</f>
        <v>6731.4161046882</v>
      </c>
      <c r="G57" s="1">
        <f t="shared" si="12"/>
        <v>6621.42564546127</v>
      </c>
      <c r="H57" s="1">
        <f t="shared" si="13"/>
        <v>141.425645461271</v>
      </c>
      <c r="I57" s="1">
        <f t="shared" si="15"/>
        <v>0.3303031628527</v>
      </c>
      <c r="K57" s="1">
        <f t="shared" ref="K57:K88" si="17">K56+1</f>
        <v>92</v>
      </c>
      <c r="L57" s="1">
        <f t="shared" si="16"/>
        <v>0.694658370458997</v>
      </c>
    </row>
    <row r="58" spans="5:12">
      <c r="E58" s="1">
        <f t="shared" si="14"/>
        <v>109.990907881065</v>
      </c>
      <c r="F58" s="1">
        <f>$I$44*360*$D$37*SQRT(C7*1)/$E$37</f>
        <v>6731.44356232117</v>
      </c>
      <c r="G58" s="1">
        <f t="shared" si="12"/>
        <v>6621.45265444011</v>
      </c>
      <c r="H58" s="1">
        <f t="shared" si="13"/>
        <v>141.452654440109</v>
      </c>
      <c r="I58" s="1">
        <f t="shared" si="15"/>
        <v>0.330080684439463</v>
      </c>
      <c r="K58" s="1">
        <f t="shared" si="17"/>
        <v>93</v>
      </c>
      <c r="L58" s="1">
        <f t="shared" si="16"/>
        <v>0.688354575693754</v>
      </c>
    </row>
    <row r="59" spans="5:12">
      <c r="E59" s="1">
        <f t="shared" si="14"/>
        <v>109.991356560383</v>
      </c>
      <c r="F59" s="1">
        <f>$I$44*360*$D$37*SQRT(C8*1)/$E$37</f>
        <v>6731.47102149542</v>
      </c>
      <c r="G59" s="1">
        <f t="shared" si="12"/>
        <v>6621.47966493504</v>
      </c>
      <c r="H59" s="1">
        <f t="shared" si="13"/>
        <v>141.47966493504</v>
      </c>
      <c r="I59" s="1">
        <f t="shared" si="15"/>
        <v>0.329858175199193</v>
      </c>
      <c r="K59" s="1">
        <f t="shared" si="17"/>
        <v>94</v>
      </c>
      <c r="L59" s="1">
        <f t="shared" si="16"/>
        <v>0.681998360062498</v>
      </c>
    </row>
    <row r="60" spans="5:12">
      <c r="E60" s="1">
        <f t="shared" si="14"/>
        <v>109.991805264887</v>
      </c>
      <c r="F60" s="1">
        <f t="shared" ref="F60:F75" si="18">$I$44*360*$D$37*SQRT(C9*1)/$E$37</f>
        <v>6731.49848221108</v>
      </c>
      <c r="G60" s="1">
        <f t="shared" ref="G60:G83" si="19">F60-E60</f>
        <v>6621.50667694619</v>
      </c>
      <c r="H60" s="1">
        <f t="shared" ref="H60:H83" si="20">MOD(G60,360)</f>
        <v>141.506676946191</v>
      </c>
      <c r="I60" s="1">
        <f t="shared" si="15"/>
        <v>0.329635635140127</v>
      </c>
      <c r="K60" s="1">
        <f t="shared" si="17"/>
        <v>95</v>
      </c>
      <c r="L60" s="1">
        <f t="shared" si="16"/>
        <v>0.67559020761566</v>
      </c>
    </row>
    <row r="61" spans="5:12">
      <c r="E61" s="1">
        <f t="shared" si="14"/>
        <v>109.99225399458</v>
      </c>
      <c r="F61" s="1">
        <f t="shared" si="18"/>
        <v>6731.52594446827</v>
      </c>
      <c r="G61" s="1">
        <f t="shared" si="19"/>
        <v>6621.53369047369</v>
      </c>
      <c r="H61" s="1">
        <f t="shared" si="20"/>
        <v>141.533690473694</v>
      </c>
      <c r="I61" s="1">
        <f t="shared" si="15"/>
        <v>0.32941306427045</v>
      </c>
      <c r="K61" s="1">
        <f t="shared" si="17"/>
        <v>96</v>
      </c>
      <c r="L61" s="1">
        <f t="shared" si="16"/>
        <v>0.669130606358858</v>
      </c>
    </row>
    <row r="62" spans="5:12">
      <c r="E62" s="1">
        <f t="shared" si="14"/>
        <v>109.992702749463</v>
      </c>
      <c r="F62" s="1">
        <f t="shared" si="18"/>
        <v>6731.55340826714</v>
      </c>
      <c r="G62" s="1">
        <f t="shared" si="19"/>
        <v>6621.56070551768</v>
      </c>
      <c r="H62" s="1">
        <f t="shared" si="20"/>
        <v>141.560705517675</v>
      </c>
      <c r="I62" s="1">
        <f t="shared" si="15"/>
        <v>0.329190462598412</v>
      </c>
      <c r="K62" s="1">
        <f t="shared" si="17"/>
        <v>97</v>
      </c>
      <c r="L62" s="1">
        <f t="shared" si="16"/>
        <v>0.662620048215738</v>
      </c>
    </row>
    <row r="63" spans="5:12">
      <c r="E63" s="1">
        <f t="shared" si="14"/>
        <v>109.993151529539</v>
      </c>
      <c r="F63" s="1">
        <f t="shared" si="18"/>
        <v>6731.5808736078</v>
      </c>
      <c r="G63" s="1">
        <f t="shared" si="19"/>
        <v>6621.58772207826</v>
      </c>
      <c r="H63" s="1">
        <f t="shared" si="20"/>
        <v>141.587722078263</v>
      </c>
      <c r="I63" s="1">
        <f t="shared" si="15"/>
        <v>0.328967830132239</v>
      </c>
      <c r="K63" s="1">
        <f t="shared" si="17"/>
        <v>98</v>
      </c>
      <c r="L63" s="1">
        <f t="shared" si="16"/>
        <v>0.656059028990507</v>
      </c>
    </row>
    <row r="64" spans="5:12">
      <c r="E64" s="1">
        <f t="shared" si="14"/>
        <v>109.99360033481</v>
      </c>
      <c r="F64" s="1">
        <f t="shared" si="18"/>
        <v>6731.6083404904</v>
      </c>
      <c r="G64" s="1">
        <f t="shared" si="19"/>
        <v>6621.61474015559</v>
      </c>
      <c r="H64" s="1">
        <f t="shared" si="20"/>
        <v>141.614740155589</v>
      </c>
      <c r="I64" s="1">
        <f t="shared" si="15"/>
        <v>0.328745166880146</v>
      </c>
      <c r="K64" s="1">
        <f t="shared" si="17"/>
        <v>99</v>
      </c>
      <c r="L64" s="1">
        <f t="shared" si="16"/>
        <v>0.649448048330184</v>
      </c>
    </row>
    <row r="65" spans="5:12">
      <c r="E65" s="1">
        <f t="shared" si="14"/>
        <v>109.994049165279</v>
      </c>
      <c r="F65" s="1">
        <f t="shared" si="18"/>
        <v>6731.63580891505</v>
      </c>
      <c r="G65" s="1">
        <f t="shared" si="19"/>
        <v>6621.64175974978</v>
      </c>
      <c r="H65" s="1">
        <f t="shared" si="20"/>
        <v>141.641759749776</v>
      </c>
      <c r="I65" s="1">
        <f t="shared" si="15"/>
        <v>0.32852247285042</v>
      </c>
      <c r="K65" s="1">
        <f t="shared" si="17"/>
        <v>100</v>
      </c>
      <c r="L65" s="1">
        <f t="shared" si="16"/>
        <v>0.642787609686539</v>
      </c>
    </row>
    <row r="66" spans="5:12">
      <c r="E66" s="1">
        <f t="shared" si="14"/>
        <v>109.99853885627</v>
      </c>
      <c r="F66" s="1">
        <f t="shared" si="18"/>
        <v>6731.9105780037</v>
      </c>
      <c r="G66" s="1">
        <f t="shared" si="19"/>
        <v>6621.91203914743</v>
      </c>
      <c r="H66" s="1">
        <f t="shared" si="20"/>
        <v>141.912039147433</v>
      </c>
      <c r="I66" s="1">
        <f t="shared" si="15"/>
        <v>0.326293841598024</v>
      </c>
      <c r="K66" s="1">
        <f t="shared" si="17"/>
        <v>101</v>
      </c>
      <c r="L66" s="1">
        <f t="shared" si="16"/>
        <v>0.636078220277764</v>
      </c>
    </row>
    <row r="67" spans="5:12">
      <c r="E67" s="1">
        <f t="shared" si="14"/>
        <v>110.003031069316</v>
      </c>
      <c r="F67" s="1">
        <f t="shared" si="18"/>
        <v>6732.18550144215</v>
      </c>
      <c r="G67" s="1">
        <f t="shared" si="19"/>
        <v>6622.18247037284</v>
      </c>
      <c r="H67" s="1">
        <f t="shared" si="20"/>
        <v>142.182470372837</v>
      </c>
      <c r="I67" s="1">
        <f t="shared" si="15"/>
        <v>0.324062141678426</v>
      </c>
      <c r="K67" s="1">
        <f t="shared" si="17"/>
        <v>102</v>
      </c>
      <c r="L67" s="1">
        <f t="shared" si="16"/>
        <v>0.629320391049838</v>
      </c>
    </row>
    <row r="68" spans="5:12">
      <c r="E68" s="1">
        <f t="shared" si="14"/>
        <v>110.007525806555</v>
      </c>
      <c r="F68" s="1">
        <f t="shared" si="18"/>
        <v>6732.46057936118</v>
      </c>
      <c r="G68" s="1">
        <f t="shared" si="19"/>
        <v>6622.45305355463</v>
      </c>
      <c r="H68" s="1">
        <f t="shared" si="20"/>
        <v>142.453053554629</v>
      </c>
      <c r="I68" s="1">
        <f t="shared" si="15"/>
        <v>0.321827381407671</v>
      </c>
      <c r="K68" s="1">
        <f t="shared" si="17"/>
        <v>103</v>
      </c>
      <c r="L68" s="1">
        <f t="shared" si="16"/>
        <v>0.62251463663762</v>
      </c>
    </row>
    <row r="69" spans="5:12">
      <c r="E69" s="1">
        <f t="shared" si="14"/>
        <v>110.012023070126</v>
      </c>
      <c r="F69" s="1">
        <f t="shared" si="18"/>
        <v>6732.73581189174</v>
      </c>
      <c r="G69" s="1">
        <f t="shared" si="19"/>
        <v>6622.72378882161</v>
      </c>
      <c r="H69" s="1">
        <f t="shared" si="20"/>
        <v>142.72378882161</v>
      </c>
      <c r="I69" s="1">
        <f t="shared" si="15"/>
        <v>0.319589569147337</v>
      </c>
      <c r="K69" s="1">
        <f t="shared" si="17"/>
        <v>104</v>
      </c>
      <c r="L69" s="1">
        <f t="shared" si="16"/>
        <v>0.615661475325658</v>
      </c>
    </row>
    <row r="70" spans="5:12">
      <c r="E70" s="1">
        <f t="shared" si="14"/>
        <v>110.016522862171</v>
      </c>
      <c r="F70" s="1">
        <f t="shared" si="18"/>
        <v>6733.01119916488</v>
      </c>
      <c r="G70" s="1">
        <f t="shared" si="19"/>
        <v>6622.99467630271</v>
      </c>
      <c r="H70" s="1">
        <f t="shared" si="20"/>
        <v>142.994676302711</v>
      </c>
      <c r="I70" s="1">
        <f t="shared" si="15"/>
        <v>0.317348713304868</v>
      </c>
      <c r="K70" s="1">
        <f t="shared" si="17"/>
        <v>105</v>
      </c>
      <c r="L70" s="1">
        <f t="shared" si="16"/>
        <v>0.608761429008721</v>
      </c>
    </row>
    <row r="71" spans="5:12">
      <c r="E71" s="1">
        <f t="shared" si="14"/>
        <v>110.021025184834</v>
      </c>
      <c r="F71" s="1">
        <f t="shared" si="18"/>
        <v>6733.28674131185</v>
      </c>
      <c r="G71" s="1">
        <f t="shared" si="19"/>
        <v>6623.26571612702</v>
      </c>
      <c r="H71" s="1">
        <f t="shared" si="20"/>
        <v>143.265716127015</v>
      </c>
      <c r="I71" s="1">
        <f t="shared" si="15"/>
        <v>0.315104822333532</v>
      </c>
      <c r="K71" s="1">
        <f t="shared" si="17"/>
        <v>106</v>
      </c>
      <c r="L71" s="1">
        <f t="shared" si="16"/>
        <v>0.601815023152048</v>
      </c>
    </row>
    <row r="72" spans="5:12">
      <c r="E72" s="1">
        <f t="shared" si="14"/>
        <v>110.025530040262</v>
      </c>
      <c r="F72" s="1">
        <f t="shared" si="18"/>
        <v>6733.56243846402</v>
      </c>
      <c r="G72" s="1">
        <f t="shared" si="19"/>
        <v>6623.53690842376</v>
      </c>
      <c r="H72" s="1">
        <f t="shared" si="20"/>
        <v>143.536908423759</v>
      </c>
      <c r="I72" s="1">
        <f t="shared" si="15"/>
        <v>0.312857904732466</v>
      </c>
      <c r="K72" s="1">
        <f t="shared" si="17"/>
        <v>107</v>
      </c>
      <c r="L72" s="1">
        <f t="shared" si="16"/>
        <v>0.594822786751341</v>
      </c>
    </row>
    <row r="73" spans="5:12">
      <c r="E73" s="1">
        <f t="shared" si="14"/>
        <v>110.030037430603</v>
      </c>
      <c r="F73" s="1">
        <f t="shared" si="18"/>
        <v>6733.83829075292</v>
      </c>
      <c r="G73" s="1">
        <f t="shared" si="19"/>
        <v>6623.80825332232</v>
      </c>
      <c r="H73" s="1">
        <f t="shared" si="20"/>
        <v>143.808253322315</v>
      </c>
      <c r="I73" s="1">
        <f t="shared" si="15"/>
        <v>0.310607969046923</v>
      </c>
      <c r="K73" s="1">
        <f t="shared" si="17"/>
        <v>108</v>
      </c>
      <c r="L73" s="1">
        <f t="shared" si="16"/>
        <v>0.587785252292473</v>
      </c>
    </row>
    <row r="74" spans="5:12">
      <c r="E74" s="1">
        <f t="shared" si="14"/>
        <v>110.03454735801</v>
      </c>
      <c r="F74" s="1">
        <f t="shared" si="18"/>
        <v>6734.11429831022</v>
      </c>
      <c r="G74" s="1">
        <f t="shared" si="19"/>
        <v>6624.07975095221</v>
      </c>
      <c r="H74" s="1">
        <f t="shared" si="20"/>
        <v>144.07975095221</v>
      </c>
      <c r="I74" s="1">
        <f t="shared" si="15"/>
        <v>0.308355023868226</v>
      </c>
      <c r="K74" s="1">
        <f t="shared" si="17"/>
        <v>109</v>
      </c>
      <c r="L74" s="1">
        <f t="shared" si="16"/>
        <v>0.58070295571094</v>
      </c>
    </row>
    <row r="75" spans="5:12">
      <c r="E75" s="1">
        <f t="shared" si="14"/>
        <v>110.079786645781</v>
      </c>
      <c r="F75" s="1">
        <f t="shared" si="18"/>
        <v>6736.88294272177</v>
      </c>
      <c r="G75" s="1">
        <f t="shared" si="19"/>
        <v>6626.80315607599</v>
      </c>
      <c r="H75" s="1">
        <f t="shared" si="20"/>
        <v>146.803156075988</v>
      </c>
      <c r="I75" s="1">
        <f t="shared" si="15"/>
        <v>0.285661973215836</v>
      </c>
      <c r="K75" s="1">
        <f t="shared" si="17"/>
        <v>110</v>
      </c>
      <c r="L75" s="1">
        <f t="shared" si="16"/>
        <v>0.573576436351046</v>
      </c>
    </row>
    <row r="76" spans="5:12">
      <c r="E76" s="1">
        <f t="shared" ref="E76:E83" si="21">$H$44*360*$D$37*SQRT(C25*1)/$E$37</f>
        <v>110.125282025114</v>
      </c>
      <c r="F76" s="1">
        <f t="shared" ref="F76:F83" si="22">$I$44*360*$D$37*SQRT(C25*1)/$E$37</f>
        <v>6739.66725993696</v>
      </c>
      <c r="G76" s="1">
        <f t="shared" si="19"/>
        <v>6629.54197791184</v>
      </c>
      <c r="H76" s="1">
        <f t="shared" si="20"/>
        <v>149.541977911843</v>
      </c>
      <c r="I76" s="1">
        <f t="shared" si="15"/>
        <v>0.262677769762207</v>
      </c>
      <c r="K76" s="1">
        <f t="shared" si="17"/>
        <v>111</v>
      </c>
      <c r="L76" s="1">
        <f t="shared" si="16"/>
        <v>0.566406236924833</v>
      </c>
    </row>
    <row r="77" spans="5:12">
      <c r="E77" s="1">
        <f t="shared" si="21"/>
        <v>110.171035688467</v>
      </c>
      <c r="F77" s="1">
        <f t="shared" si="22"/>
        <v>6742.46738413415</v>
      </c>
      <c r="G77" s="1">
        <f t="shared" si="19"/>
        <v>6632.29634844568</v>
      </c>
      <c r="H77" s="1">
        <f t="shared" si="20"/>
        <v>152.296348445683</v>
      </c>
      <c r="I77" s="1">
        <f t="shared" si="15"/>
        <v>0.239411780403778</v>
      </c>
      <c r="K77" s="1">
        <f t="shared" si="17"/>
        <v>112</v>
      </c>
      <c r="L77" s="1">
        <f t="shared" si="16"/>
        <v>0.559192903470747</v>
      </c>
    </row>
    <row r="78" spans="5:12">
      <c r="E78" s="1">
        <f t="shared" si="21"/>
        <v>110.217049853518</v>
      </c>
      <c r="F78" s="1">
        <f t="shared" si="22"/>
        <v>6745.28345103533</v>
      </c>
      <c r="G78" s="1">
        <f t="shared" si="19"/>
        <v>6635.06640118181</v>
      </c>
      <c r="H78" s="1">
        <f t="shared" si="20"/>
        <v>155.066401181809</v>
      </c>
      <c r="I78" s="1">
        <f t="shared" si="15"/>
        <v>0.215873853514356</v>
      </c>
      <c r="K78" s="1">
        <f t="shared" si="17"/>
        <v>113</v>
      </c>
      <c r="L78" s="1">
        <f t="shared" si="16"/>
        <v>0.551936985312058</v>
      </c>
    </row>
    <row r="79" spans="5:12">
      <c r="E79" s="1">
        <f t="shared" si="21"/>
        <v>110.263326763537</v>
      </c>
      <c r="F79" s="1">
        <f t="shared" si="22"/>
        <v>6748.11559792845</v>
      </c>
      <c r="G79" s="1">
        <f t="shared" si="19"/>
        <v>6637.85227116491</v>
      </c>
      <c r="H79" s="1">
        <f t="shared" si="20"/>
        <v>157.852271164909</v>
      </c>
      <c r="I79" s="1">
        <f t="shared" si="15"/>
        <v>0.192074327934297</v>
      </c>
      <c r="K79" s="1">
        <f t="shared" si="17"/>
        <v>114</v>
      </c>
      <c r="L79" s="1">
        <f t="shared" si="16"/>
        <v>0.544639035015027</v>
      </c>
    </row>
    <row r="80" spans="5:12">
      <c r="E80" s="1">
        <f t="shared" si="21"/>
        <v>110.309868687748</v>
      </c>
      <c r="F80" s="1">
        <f t="shared" si="22"/>
        <v>6750.96396369018</v>
      </c>
      <c r="G80" s="1">
        <f t="shared" si="19"/>
        <v>6640.65409500243</v>
      </c>
      <c r="H80" s="1">
        <f t="shared" si="20"/>
        <v>160.654095002432</v>
      </c>
      <c r="I80" s="1">
        <f t="shared" si="15"/>
        <v>0.168024041791906</v>
      </c>
      <c r="K80" s="1">
        <f t="shared" si="17"/>
        <v>115</v>
      </c>
      <c r="L80" s="1">
        <f t="shared" si="16"/>
        <v>0.537299608346824</v>
      </c>
    </row>
    <row r="81" spans="5:12">
      <c r="E81" s="1">
        <f t="shared" si="21"/>
        <v>110.356677921717</v>
      </c>
      <c r="F81" s="1">
        <f t="shared" si="22"/>
        <v>6753.82868880909</v>
      </c>
      <c r="G81" s="1">
        <f t="shared" si="19"/>
        <v>6643.47201088737</v>
      </c>
      <c r="H81" s="1">
        <f t="shared" si="20"/>
        <v>163.47201088737</v>
      </c>
      <c r="I81" s="1">
        <f t="shared" si="15"/>
        <v>0.143734341133548</v>
      </c>
      <c r="K81" s="1">
        <f t="shared" si="17"/>
        <v>116</v>
      </c>
      <c r="L81" s="1">
        <f t="shared" si="16"/>
        <v>0.529919264233205</v>
      </c>
    </row>
    <row r="82" spans="5:12">
      <c r="E82" s="1">
        <f t="shared" si="21"/>
        <v>110.403756787732</v>
      </c>
      <c r="F82" s="1">
        <f t="shared" si="22"/>
        <v>6756.70991540917</v>
      </c>
      <c r="G82" s="1">
        <f t="shared" si="19"/>
        <v>6646.30615862144</v>
      </c>
      <c r="H82" s="1">
        <f t="shared" si="20"/>
        <v>166.306158621439</v>
      </c>
      <c r="I82" s="1">
        <f t="shared" si="15"/>
        <v>0.119217088338465</v>
      </c>
      <c r="K82" s="1">
        <f t="shared" si="17"/>
        <v>117</v>
      </c>
      <c r="L82" s="1">
        <f t="shared" si="16"/>
        <v>0.522498564715949</v>
      </c>
    </row>
    <row r="83" spans="5:12">
      <c r="E83" s="1">
        <f t="shared" si="21"/>
        <v>110.451107635193</v>
      </c>
      <c r="F83" s="1">
        <f t="shared" si="22"/>
        <v>6759.60778727384</v>
      </c>
      <c r="G83" s="1">
        <f t="shared" si="19"/>
        <v>6649.15667963865</v>
      </c>
      <c r="H83" s="1">
        <f t="shared" si="20"/>
        <v>169.156679638647</v>
      </c>
      <c r="I83" s="1">
        <f t="shared" si="15"/>
        <v>0.0944846702927484</v>
      </c>
      <c r="K83" s="1">
        <f t="shared" si="17"/>
        <v>118</v>
      </c>
      <c r="L83" s="1">
        <f t="shared" si="16"/>
        <v>0.515038074910054</v>
      </c>
    </row>
    <row r="84" spans="11:12">
      <c r="K84" s="1">
        <f t="shared" si="17"/>
        <v>119</v>
      </c>
      <c r="L84" s="1">
        <f t="shared" si="16"/>
        <v>0.507538362960704</v>
      </c>
    </row>
    <row r="85" spans="11:12">
      <c r="K85" s="1">
        <f t="shared" si="17"/>
        <v>120</v>
      </c>
      <c r="L85" s="1">
        <f t="shared" si="16"/>
        <v>0.5</v>
      </c>
    </row>
    <row r="86" spans="11:12">
      <c r="K86" s="1">
        <f t="shared" si="17"/>
        <v>121</v>
      </c>
      <c r="L86" s="1">
        <f t="shared" si="16"/>
        <v>0.492423560103467</v>
      </c>
    </row>
    <row r="87" spans="11:12">
      <c r="K87" s="1">
        <f t="shared" si="17"/>
        <v>122</v>
      </c>
      <c r="L87" s="1">
        <f t="shared" si="16"/>
        <v>0.484809620246337</v>
      </c>
    </row>
    <row r="88" spans="11:12">
      <c r="K88" s="1">
        <f t="shared" si="17"/>
        <v>123</v>
      </c>
      <c r="L88" s="1">
        <f t="shared" ref="L88:L119" si="23">ABS(SQRT(2)*$E$45*COS((K88*PI()/180)/2))</f>
        <v>0.477158760259608</v>
      </c>
    </row>
    <row r="89" spans="11:12">
      <c r="K89" s="1">
        <f t="shared" ref="K89:K120" si="24">K88+1</f>
        <v>124</v>
      </c>
      <c r="L89" s="1">
        <f t="shared" si="23"/>
        <v>0.469471562785891</v>
      </c>
    </row>
    <row r="90" spans="11:12">
      <c r="K90" s="1">
        <f t="shared" si="24"/>
        <v>125</v>
      </c>
      <c r="L90" s="1">
        <f t="shared" si="23"/>
        <v>0.461748613235034</v>
      </c>
    </row>
    <row r="91" spans="11:12">
      <c r="K91" s="1">
        <f t="shared" si="24"/>
        <v>126</v>
      </c>
      <c r="L91" s="1">
        <f t="shared" si="23"/>
        <v>0.453990499739547</v>
      </c>
    </row>
    <row r="92" spans="11:12">
      <c r="K92" s="1">
        <f t="shared" si="24"/>
        <v>127</v>
      </c>
      <c r="L92" s="1">
        <f t="shared" si="23"/>
        <v>0.446197813109809</v>
      </c>
    </row>
    <row r="93" spans="11:12">
      <c r="K93" s="1">
        <f t="shared" si="24"/>
        <v>128</v>
      </c>
      <c r="L93" s="1">
        <f t="shared" si="23"/>
        <v>0.438371146789077</v>
      </c>
    </row>
    <row r="94" spans="11:12">
      <c r="K94" s="1">
        <f t="shared" si="24"/>
        <v>129</v>
      </c>
      <c r="L94" s="1">
        <f t="shared" si="23"/>
        <v>0.430511096808295</v>
      </c>
    </row>
    <row r="95" spans="11:12">
      <c r="K95" s="1">
        <f t="shared" si="24"/>
        <v>130</v>
      </c>
      <c r="L95" s="1">
        <f t="shared" si="23"/>
        <v>0.422618261740699</v>
      </c>
    </row>
    <row r="96" spans="11:12">
      <c r="K96" s="1">
        <f t="shared" si="24"/>
        <v>131</v>
      </c>
      <c r="L96" s="1">
        <f t="shared" si="23"/>
        <v>0.414693242656239</v>
      </c>
    </row>
    <row r="97" spans="11:12">
      <c r="K97" s="1">
        <f t="shared" si="24"/>
        <v>132</v>
      </c>
      <c r="L97" s="1">
        <f t="shared" si="23"/>
        <v>0.4067366430758</v>
      </c>
    </row>
    <row r="98" spans="11:12">
      <c r="K98" s="1">
        <f t="shared" si="24"/>
        <v>133</v>
      </c>
      <c r="L98" s="1">
        <f t="shared" si="23"/>
        <v>0.398749068925246</v>
      </c>
    </row>
    <row r="99" spans="11:12">
      <c r="K99" s="1">
        <f t="shared" si="24"/>
        <v>134</v>
      </c>
      <c r="L99" s="1">
        <f t="shared" si="23"/>
        <v>0.390731128489274</v>
      </c>
    </row>
    <row r="100" spans="11:12">
      <c r="K100" s="1">
        <f t="shared" si="24"/>
        <v>135</v>
      </c>
      <c r="L100" s="1">
        <f t="shared" si="23"/>
        <v>0.38268343236509</v>
      </c>
    </row>
    <row r="101" spans="11:12">
      <c r="K101" s="1">
        <f t="shared" si="24"/>
        <v>136</v>
      </c>
      <c r="L101" s="1">
        <f t="shared" si="23"/>
        <v>0.374606593415912</v>
      </c>
    </row>
    <row r="102" spans="11:12">
      <c r="K102" s="1">
        <f t="shared" si="24"/>
        <v>137</v>
      </c>
      <c r="L102" s="1">
        <f t="shared" si="23"/>
        <v>0.366501226724297</v>
      </c>
    </row>
    <row r="103" spans="11:12">
      <c r="K103" s="1">
        <f t="shared" si="24"/>
        <v>138</v>
      </c>
      <c r="L103" s="1">
        <f t="shared" si="23"/>
        <v>0.3583679495453</v>
      </c>
    </row>
    <row r="104" spans="11:12">
      <c r="K104" s="1">
        <f t="shared" si="24"/>
        <v>139</v>
      </c>
      <c r="L104" s="1">
        <f t="shared" si="23"/>
        <v>0.350207381259467</v>
      </c>
    </row>
    <row r="105" spans="11:12">
      <c r="K105" s="1">
        <f t="shared" si="24"/>
        <v>140</v>
      </c>
      <c r="L105" s="1">
        <f t="shared" si="23"/>
        <v>0.342020143325669</v>
      </c>
    </row>
    <row r="106" spans="11:12">
      <c r="K106" s="1">
        <f t="shared" si="24"/>
        <v>141</v>
      </c>
      <c r="L106" s="1">
        <f t="shared" si="23"/>
        <v>0.333806859233771</v>
      </c>
    </row>
    <row r="107" spans="11:12">
      <c r="K107" s="1">
        <f t="shared" si="24"/>
        <v>142</v>
      </c>
      <c r="L107" s="1">
        <f t="shared" si="23"/>
        <v>0.325568154457157</v>
      </c>
    </row>
    <row r="108" spans="11:12">
      <c r="K108" s="1">
        <f t="shared" si="24"/>
        <v>143</v>
      </c>
      <c r="L108" s="1">
        <f t="shared" si="23"/>
        <v>0.317304656405092</v>
      </c>
    </row>
    <row r="109" spans="11:12">
      <c r="K109" s="1">
        <f t="shared" si="24"/>
        <v>144</v>
      </c>
      <c r="L109" s="1">
        <f t="shared" si="23"/>
        <v>0.309016994374947</v>
      </c>
    </row>
    <row r="110" spans="11:12">
      <c r="K110" s="1">
        <f t="shared" si="24"/>
        <v>145</v>
      </c>
      <c r="L110" s="1">
        <f t="shared" si="23"/>
        <v>0.300705799504273</v>
      </c>
    </row>
    <row r="111" spans="11:12">
      <c r="K111" s="1">
        <f t="shared" si="24"/>
        <v>146</v>
      </c>
      <c r="L111" s="1">
        <f t="shared" si="23"/>
        <v>0.292371704722737</v>
      </c>
    </row>
    <row r="112" spans="11:12">
      <c r="K112" s="1">
        <f t="shared" si="24"/>
        <v>147</v>
      </c>
      <c r="L112" s="1">
        <f t="shared" si="23"/>
        <v>0.284015344703923</v>
      </c>
    </row>
    <row r="113" spans="11:12">
      <c r="K113" s="1">
        <f t="shared" si="24"/>
        <v>148</v>
      </c>
      <c r="L113" s="1">
        <f t="shared" si="23"/>
        <v>0.275637355816999</v>
      </c>
    </row>
    <row r="114" spans="11:12">
      <c r="K114" s="1">
        <f t="shared" si="24"/>
        <v>149</v>
      </c>
      <c r="L114" s="1">
        <f t="shared" si="23"/>
        <v>0.267238376078257</v>
      </c>
    </row>
    <row r="115" spans="11:12">
      <c r="K115" s="1">
        <f t="shared" si="24"/>
        <v>150</v>
      </c>
      <c r="L115" s="1">
        <f t="shared" si="23"/>
        <v>0.258819045102521</v>
      </c>
    </row>
    <row r="116" spans="11:12">
      <c r="K116" s="1">
        <f t="shared" si="24"/>
        <v>151</v>
      </c>
      <c r="L116" s="1">
        <f t="shared" si="23"/>
        <v>0.250380004054441</v>
      </c>
    </row>
    <row r="117" spans="11:12">
      <c r="K117" s="1">
        <f t="shared" si="24"/>
        <v>152</v>
      </c>
      <c r="L117" s="1">
        <f t="shared" si="23"/>
        <v>0.241921895599668</v>
      </c>
    </row>
    <row r="118" spans="11:12">
      <c r="K118" s="1">
        <f t="shared" si="24"/>
        <v>153</v>
      </c>
      <c r="L118" s="1">
        <f t="shared" si="23"/>
        <v>0.233445363855905</v>
      </c>
    </row>
    <row r="119" spans="11:12">
      <c r="K119" s="1">
        <f t="shared" si="24"/>
        <v>154</v>
      </c>
      <c r="L119" s="1">
        <f t="shared" si="23"/>
        <v>0.224951054343865</v>
      </c>
    </row>
    <row r="120" spans="11:12">
      <c r="K120" s="1">
        <f t="shared" si="24"/>
        <v>155</v>
      </c>
      <c r="L120" s="1">
        <f t="shared" ref="L120:L151" si="25">ABS(SQRT(2)*$E$45*COS((K120*PI()/180)/2))</f>
        <v>0.216439613938103</v>
      </c>
    </row>
    <row r="121" spans="11:12">
      <c r="K121" s="1">
        <f t="shared" ref="K121:K152" si="26">K120+1</f>
        <v>156</v>
      </c>
      <c r="L121" s="1">
        <f t="shared" si="25"/>
        <v>0.207911690817759</v>
      </c>
    </row>
    <row r="122" spans="11:12">
      <c r="K122" s="1">
        <f t="shared" si="26"/>
        <v>157</v>
      </c>
      <c r="L122" s="1">
        <f t="shared" si="25"/>
        <v>0.199367934417197</v>
      </c>
    </row>
    <row r="123" spans="11:12">
      <c r="K123" s="1">
        <f t="shared" si="26"/>
        <v>158</v>
      </c>
      <c r="L123" s="1">
        <f t="shared" si="25"/>
        <v>0.190808995376545</v>
      </c>
    </row>
    <row r="124" spans="11:12">
      <c r="K124" s="1">
        <f t="shared" si="26"/>
        <v>159</v>
      </c>
      <c r="L124" s="1">
        <f t="shared" si="25"/>
        <v>0.182235525492147</v>
      </c>
    </row>
    <row r="125" spans="11:12">
      <c r="K125" s="1">
        <f t="shared" si="26"/>
        <v>160</v>
      </c>
      <c r="L125" s="1">
        <f t="shared" si="25"/>
        <v>0.17364817766693</v>
      </c>
    </row>
    <row r="126" spans="11:12">
      <c r="K126" s="1">
        <f t="shared" si="26"/>
        <v>161</v>
      </c>
      <c r="L126" s="1">
        <f t="shared" si="25"/>
        <v>0.165047605860678</v>
      </c>
    </row>
    <row r="127" spans="11:12">
      <c r="K127" s="1">
        <f t="shared" si="26"/>
        <v>162</v>
      </c>
      <c r="L127" s="1">
        <f t="shared" si="25"/>
        <v>0.156434465040231</v>
      </c>
    </row>
    <row r="128" spans="11:12">
      <c r="K128" s="1">
        <f t="shared" si="26"/>
        <v>163</v>
      </c>
      <c r="L128" s="1">
        <f t="shared" si="25"/>
        <v>0.147809411129611</v>
      </c>
    </row>
    <row r="129" spans="11:12">
      <c r="K129" s="1">
        <f t="shared" si="26"/>
        <v>164</v>
      </c>
      <c r="L129" s="1">
        <f t="shared" si="25"/>
        <v>0.139173100960066</v>
      </c>
    </row>
    <row r="130" spans="11:12">
      <c r="K130" s="1">
        <f t="shared" si="26"/>
        <v>165</v>
      </c>
      <c r="L130" s="1">
        <f t="shared" si="25"/>
        <v>0.130526192220052</v>
      </c>
    </row>
    <row r="131" spans="11:12">
      <c r="K131" s="1">
        <f t="shared" si="26"/>
        <v>166</v>
      </c>
      <c r="L131" s="1">
        <f t="shared" si="25"/>
        <v>0.121869343405147</v>
      </c>
    </row>
    <row r="132" spans="11:12">
      <c r="K132" s="1">
        <f t="shared" si="26"/>
        <v>167</v>
      </c>
      <c r="L132" s="1">
        <f t="shared" si="25"/>
        <v>0.113203213767907</v>
      </c>
    </row>
    <row r="133" spans="11:12">
      <c r="K133" s="1">
        <f t="shared" si="26"/>
        <v>168</v>
      </c>
      <c r="L133" s="1">
        <f t="shared" si="25"/>
        <v>0.104528463267653</v>
      </c>
    </row>
    <row r="134" spans="11:12">
      <c r="K134" s="1">
        <f t="shared" si="26"/>
        <v>169</v>
      </c>
      <c r="L134" s="1">
        <f t="shared" si="25"/>
        <v>0.0958457525202241</v>
      </c>
    </row>
    <row r="135" spans="11:12">
      <c r="K135" s="1">
        <f t="shared" si="26"/>
        <v>170</v>
      </c>
      <c r="L135" s="1">
        <f t="shared" si="25"/>
        <v>0.0871557427476581</v>
      </c>
    </row>
    <row r="136" spans="11:12">
      <c r="K136" s="1">
        <f t="shared" si="26"/>
        <v>171</v>
      </c>
      <c r="L136" s="1">
        <f t="shared" si="25"/>
        <v>0.078459095727845</v>
      </c>
    </row>
    <row r="137" spans="11:12">
      <c r="K137" s="1">
        <f t="shared" si="26"/>
        <v>172</v>
      </c>
      <c r="L137" s="1">
        <f t="shared" si="25"/>
        <v>0.0697564737441255</v>
      </c>
    </row>
    <row r="138" spans="11:12">
      <c r="K138" s="1">
        <f t="shared" si="26"/>
        <v>173</v>
      </c>
      <c r="L138" s="1">
        <f t="shared" si="25"/>
        <v>0.0610485395348569</v>
      </c>
    </row>
    <row r="139" spans="11:12">
      <c r="K139" s="1">
        <f t="shared" si="26"/>
        <v>174</v>
      </c>
      <c r="L139" s="1">
        <f t="shared" si="25"/>
        <v>0.052335956242944</v>
      </c>
    </row>
    <row r="140" spans="11:12">
      <c r="K140" s="1">
        <f t="shared" si="26"/>
        <v>175</v>
      </c>
      <c r="L140" s="1">
        <f t="shared" si="25"/>
        <v>0.0436193873653362</v>
      </c>
    </row>
    <row r="141" spans="11:12">
      <c r="K141" s="1">
        <f t="shared" si="26"/>
        <v>176</v>
      </c>
      <c r="L141" s="1">
        <f t="shared" si="25"/>
        <v>0.0348994967025011</v>
      </c>
    </row>
    <row r="142" spans="11:12">
      <c r="K142" s="1">
        <f t="shared" si="26"/>
        <v>177</v>
      </c>
      <c r="L142" s="1">
        <f t="shared" si="25"/>
        <v>0.0261769483078731</v>
      </c>
    </row>
    <row r="143" spans="11:12">
      <c r="K143" s="1">
        <f t="shared" si="26"/>
        <v>178</v>
      </c>
      <c r="L143" s="1">
        <f t="shared" si="25"/>
        <v>0.0174524064372834</v>
      </c>
    </row>
    <row r="144" spans="11:12">
      <c r="K144" s="1">
        <f t="shared" si="26"/>
        <v>179</v>
      </c>
      <c r="L144" s="1">
        <f t="shared" si="25"/>
        <v>0.0087265354983739</v>
      </c>
    </row>
    <row r="145" spans="11:12">
      <c r="K145" s="1">
        <f t="shared" si="26"/>
        <v>180</v>
      </c>
      <c r="L145" s="1">
        <f t="shared" si="25"/>
        <v>6.12323399573677e-17</v>
      </c>
    </row>
    <row r="146" spans="11:12">
      <c r="K146" s="1">
        <f t="shared" si="26"/>
        <v>181</v>
      </c>
      <c r="L146" s="1">
        <f t="shared" si="25"/>
        <v>0.00872653549837378</v>
      </c>
    </row>
    <row r="147" spans="11:12">
      <c r="K147" s="1">
        <f t="shared" si="26"/>
        <v>182</v>
      </c>
      <c r="L147" s="1">
        <f t="shared" si="25"/>
        <v>0.0174524064372835</v>
      </c>
    </row>
    <row r="148" spans="11:12">
      <c r="K148" s="1">
        <f t="shared" si="26"/>
        <v>183</v>
      </c>
      <c r="L148" s="1">
        <f t="shared" si="25"/>
        <v>0.026176948307873</v>
      </c>
    </row>
    <row r="149" spans="11:12">
      <c r="K149" s="1">
        <f t="shared" si="26"/>
        <v>184</v>
      </c>
      <c r="L149" s="1">
        <f t="shared" si="25"/>
        <v>0.0348994967025007</v>
      </c>
    </row>
    <row r="150" spans="11:12">
      <c r="K150" s="1">
        <f t="shared" si="26"/>
        <v>185</v>
      </c>
      <c r="L150" s="1">
        <f t="shared" si="25"/>
        <v>0.0436193873653359</v>
      </c>
    </row>
    <row r="151" spans="11:12">
      <c r="K151" s="1">
        <f t="shared" si="26"/>
        <v>186</v>
      </c>
      <c r="L151" s="1">
        <f t="shared" si="25"/>
        <v>0.0523359562429436</v>
      </c>
    </row>
    <row r="152" spans="11:12">
      <c r="K152" s="1">
        <f t="shared" si="26"/>
        <v>187</v>
      </c>
      <c r="L152" s="1">
        <f t="shared" ref="L152:L183" si="27">ABS(SQRT(2)*$E$45*COS((K152*PI()/180)/2))</f>
        <v>0.061048539534857</v>
      </c>
    </row>
    <row r="153" spans="11:12">
      <c r="K153" s="1">
        <f t="shared" ref="K153:K184" si="28">K152+1</f>
        <v>188</v>
      </c>
      <c r="L153" s="1">
        <f t="shared" si="27"/>
        <v>0.0697564737441253</v>
      </c>
    </row>
    <row r="154" spans="11:12">
      <c r="K154" s="1">
        <f t="shared" si="28"/>
        <v>189</v>
      </c>
      <c r="L154" s="1">
        <f t="shared" si="27"/>
        <v>0.0784590957278449</v>
      </c>
    </row>
    <row r="155" spans="11:12">
      <c r="K155" s="1">
        <f t="shared" si="28"/>
        <v>190</v>
      </c>
      <c r="L155" s="1">
        <f t="shared" si="27"/>
        <v>0.0871557427476582</v>
      </c>
    </row>
    <row r="156" spans="11:12">
      <c r="K156" s="1">
        <f t="shared" si="28"/>
        <v>191</v>
      </c>
      <c r="L156" s="1">
        <f t="shared" si="27"/>
        <v>0.095845752520224</v>
      </c>
    </row>
    <row r="157" spans="11:12">
      <c r="K157" s="1">
        <f t="shared" si="28"/>
        <v>192</v>
      </c>
      <c r="L157" s="1">
        <f t="shared" si="27"/>
        <v>0.104528463267653</v>
      </c>
    </row>
    <row r="158" spans="11:12">
      <c r="K158" s="1">
        <f t="shared" si="28"/>
        <v>193</v>
      </c>
      <c r="L158" s="1">
        <f t="shared" si="27"/>
        <v>0.113203213767907</v>
      </c>
    </row>
    <row r="159" spans="11:12">
      <c r="K159" s="1">
        <f t="shared" si="28"/>
        <v>194</v>
      </c>
      <c r="L159" s="1">
        <f t="shared" si="27"/>
        <v>0.121869343405147</v>
      </c>
    </row>
    <row r="160" spans="11:12">
      <c r="K160" s="1">
        <f t="shared" si="28"/>
        <v>195</v>
      </c>
      <c r="L160" s="1">
        <f t="shared" si="27"/>
        <v>0.130526192220051</v>
      </c>
    </row>
    <row r="161" spans="11:12">
      <c r="K161" s="1">
        <f t="shared" si="28"/>
        <v>196</v>
      </c>
      <c r="L161" s="1">
        <f t="shared" si="27"/>
        <v>0.139173100960065</v>
      </c>
    </row>
    <row r="162" spans="11:12">
      <c r="K162" s="1">
        <f t="shared" si="28"/>
        <v>197</v>
      </c>
      <c r="L162" s="1">
        <f t="shared" si="27"/>
        <v>0.14780941112961</v>
      </c>
    </row>
    <row r="163" spans="11:12">
      <c r="K163" s="1">
        <f t="shared" si="28"/>
        <v>198</v>
      </c>
      <c r="L163" s="1">
        <f t="shared" si="27"/>
        <v>0.156434465040231</v>
      </c>
    </row>
    <row r="164" spans="11:12">
      <c r="K164" s="1">
        <f t="shared" si="28"/>
        <v>199</v>
      </c>
      <c r="L164" s="1">
        <f t="shared" si="27"/>
        <v>0.165047605860678</v>
      </c>
    </row>
    <row r="165" spans="11:12">
      <c r="K165" s="1">
        <f t="shared" si="28"/>
        <v>200</v>
      </c>
      <c r="L165" s="1">
        <f t="shared" si="27"/>
        <v>0.17364817766693</v>
      </c>
    </row>
    <row r="166" spans="11:12">
      <c r="K166" s="1">
        <f t="shared" si="28"/>
        <v>201</v>
      </c>
      <c r="L166" s="1">
        <f t="shared" si="27"/>
        <v>0.182235525492148</v>
      </c>
    </row>
    <row r="167" spans="11:12">
      <c r="K167" s="1">
        <f t="shared" si="28"/>
        <v>202</v>
      </c>
      <c r="L167" s="1">
        <f t="shared" si="27"/>
        <v>0.190808995376545</v>
      </c>
    </row>
    <row r="168" spans="11:12">
      <c r="K168" s="1">
        <f t="shared" si="28"/>
        <v>203</v>
      </c>
      <c r="L168" s="1">
        <f t="shared" si="27"/>
        <v>0.199367934417197</v>
      </c>
    </row>
    <row r="169" spans="11:12">
      <c r="K169" s="1">
        <f t="shared" si="28"/>
        <v>204</v>
      </c>
      <c r="L169" s="1">
        <f t="shared" si="27"/>
        <v>0.207911690817759</v>
      </c>
    </row>
    <row r="170" spans="11:12">
      <c r="K170" s="1">
        <f t="shared" si="28"/>
        <v>205</v>
      </c>
      <c r="L170" s="1">
        <f t="shared" si="27"/>
        <v>0.216439613938103</v>
      </c>
    </row>
    <row r="171" spans="11:12">
      <c r="K171" s="1">
        <f t="shared" si="28"/>
        <v>206</v>
      </c>
      <c r="L171" s="1">
        <f t="shared" si="27"/>
        <v>0.224951054343865</v>
      </c>
    </row>
    <row r="172" spans="11:12">
      <c r="K172" s="1">
        <f t="shared" si="28"/>
        <v>207</v>
      </c>
      <c r="L172" s="1">
        <f t="shared" si="27"/>
        <v>0.233445363855905</v>
      </c>
    </row>
    <row r="173" spans="11:12">
      <c r="K173" s="1">
        <f t="shared" si="28"/>
        <v>208</v>
      </c>
      <c r="L173" s="1">
        <f t="shared" si="27"/>
        <v>0.241921895599668</v>
      </c>
    </row>
    <row r="174" spans="11:12">
      <c r="K174" s="1">
        <f t="shared" si="28"/>
        <v>209</v>
      </c>
      <c r="L174" s="1">
        <f t="shared" si="27"/>
        <v>0.250380004054441</v>
      </c>
    </row>
    <row r="175" spans="11:12">
      <c r="K175" s="1">
        <f t="shared" si="28"/>
        <v>210</v>
      </c>
      <c r="L175" s="1">
        <f t="shared" si="27"/>
        <v>0.258819045102521</v>
      </c>
    </row>
    <row r="176" spans="11:12">
      <c r="K176" s="1">
        <f t="shared" si="28"/>
        <v>211</v>
      </c>
      <c r="L176" s="1">
        <f t="shared" si="27"/>
        <v>0.267238376078257</v>
      </c>
    </row>
    <row r="177" spans="11:12">
      <c r="K177" s="1">
        <f t="shared" si="28"/>
        <v>212</v>
      </c>
      <c r="L177" s="1">
        <f t="shared" si="27"/>
        <v>0.275637355816999</v>
      </c>
    </row>
    <row r="178" spans="11:12">
      <c r="K178" s="1">
        <f t="shared" si="28"/>
        <v>213</v>
      </c>
      <c r="L178" s="1">
        <f t="shared" si="27"/>
        <v>0.284015344703923</v>
      </c>
    </row>
    <row r="179" spans="11:12">
      <c r="K179" s="1">
        <f t="shared" si="28"/>
        <v>214</v>
      </c>
      <c r="L179" s="1">
        <f t="shared" si="27"/>
        <v>0.292371704722737</v>
      </c>
    </row>
    <row r="180" spans="11:12">
      <c r="K180" s="1">
        <f t="shared" si="28"/>
        <v>215</v>
      </c>
      <c r="L180" s="1">
        <f t="shared" si="27"/>
        <v>0.300705799504273</v>
      </c>
    </row>
    <row r="181" spans="11:12">
      <c r="K181" s="1">
        <f t="shared" si="28"/>
        <v>216</v>
      </c>
      <c r="L181" s="1">
        <f t="shared" si="27"/>
        <v>0.309016994374947</v>
      </c>
    </row>
    <row r="182" spans="11:12">
      <c r="K182" s="1">
        <f t="shared" si="28"/>
        <v>217</v>
      </c>
      <c r="L182" s="1">
        <f t="shared" si="27"/>
        <v>0.317304656405092</v>
      </c>
    </row>
    <row r="183" spans="11:12">
      <c r="K183" s="1">
        <f t="shared" si="28"/>
        <v>218</v>
      </c>
      <c r="L183" s="1">
        <f t="shared" si="27"/>
        <v>0.325568154457156</v>
      </c>
    </row>
    <row r="184" spans="11:12">
      <c r="K184" s="1">
        <f t="shared" si="28"/>
        <v>219</v>
      </c>
      <c r="L184" s="1">
        <f t="shared" ref="L184:L215" si="29">ABS(SQRT(2)*$E$45*COS((K184*PI()/180)/2))</f>
        <v>0.333806859233771</v>
      </c>
    </row>
    <row r="185" spans="11:12">
      <c r="K185" s="1">
        <f t="shared" ref="K185:K216" si="30">K184+1</f>
        <v>220</v>
      </c>
      <c r="L185" s="1">
        <f t="shared" si="29"/>
        <v>0.342020143325669</v>
      </c>
    </row>
    <row r="186" spans="11:12">
      <c r="K186" s="1">
        <f t="shared" si="30"/>
        <v>221</v>
      </c>
      <c r="L186" s="1">
        <f t="shared" si="29"/>
        <v>0.350207381259468</v>
      </c>
    </row>
    <row r="187" spans="11:12">
      <c r="K187" s="1">
        <f t="shared" si="30"/>
        <v>222</v>
      </c>
      <c r="L187" s="1">
        <f t="shared" si="29"/>
        <v>0.3583679495453</v>
      </c>
    </row>
    <row r="188" spans="11:12">
      <c r="K188" s="1">
        <f t="shared" si="30"/>
        <v>223</v>
      </c>
      <c r="L188" s="1">
        <f t="shared" si="29"/>
        <v>0.366501226724297</v>
      </c>
    </row>
    <row r="189" spans="11:12">
      <c r="K189" s="1">
        <f t="shared" si="30"/>
        <v>224</v>
      </c>
      <c r="L189" s="1">
        <f t="shared" si="29"/>
        <v>0.374606593415912</v>
      </c>
    </row>
    <row r="190" spans="11:12">
      <c r="K190" s="1">
        <f t="shared" si="30"/>
        <v>225</v>
      </c>
      <c r="L190" s="1">
        <f t="shared" si="29"/>
        <v>0.38268343236509</v>
      </c>
    </row>
    <row r="191" spans="11:12">
      <c r="K191" s="1">
        <f t="shared" si="30"/>
        <v>226</v>
      </c>
      <c r="L191" s="1">
        <f t="shared" si="29"/>
        <v>0.390731128489274</v>
      </c>
    </row>
    <row r="192" spans="11:12">
      <c r="K192" s="1">
        <f t="shared" si="30"/>
        <v>227</v>
      </c>
      <c r="L192" s="1">
        <f t="shared" si="29"/>
        <v>0.398749068925246</v>
      </c>
    </row>
    <row r="193" spans="11:12">
      <c r="K193" s="1">
        <f t="shared" si="30"/>
        <v>228</v>
      </c>
      <c r="L193" s="1">
        <f t="shared" si="29"/>
        <v>0.4067366430758</v>
      </c>
    </row>
    <row r="194" spans="11:12">
      <c r="K194" s="1">
        <f t="shared" si="30"/>
        <v>229</v>
      </c>
      <c r="L194" s="1">
        <f t="shared" si="29"/>
        <v>0.414693242656239</v>
      </c>
    </row>
    <row r="195" spans="11:12">
      <c r="K195" s="1">
        <f t="shared" si="30"/>
        <v>230</v>
      </c>
      <c r="L195" s="1">
        <f t="shared" si="29"/>
        <v>0.422618261740699</v>
      </c>
    </row>
    <row r="196" spans="11:12">
      <c r="K196" s="1">
        <f t="shared" si="30"/>
        <v>231</v>
      </c>
      <c r="L196" s="1">
        <f t="shared" si="29"/>
        <v>0.430511096808295</v>
      </c>
    </row>
    <row r="197" spans="11:12">
      <c r="K197" s="1">
        <f t="shared" si="30"/>
        <v>232</v>
      </c>
      <c r="L197" s="1">
        <f t="shared" si="29"/>
        <v>0.438371146789078</v>
      </c>
    </row>
    <row r="198" spans="11:12">
      <c r="K198" s="1">
        <f t="shared" si="30"/>
        <v>233</v>
      </c>
      <c r="L198" s="1">
        <f t="shared" si="29"/>
        <v>0.446197813109809</v>
      </c>
    </row>
    <row r="199" spans="11:12">
      <c r="K199" s="1">
        <f t="shared" si="30"/>
        <v>234</v>
      </c>
      <c r="L199" s="1">
        <f t="shared" si="29"/>
        <v>0.453990499739547</v>
      </c>
    </row>
    <row r="200" spans="11:12">
      <c r="K200" s="1">
        <f t="shared" si="30"/>
        <v>235</v>
      </c>
      <c r="L200" s="1">
        <f t="shared" si="29"/>
        <v>0.461748613235034</v>
      </c>
    </row>
    <row r="201" spans="11:12">
      <c r="K201" s="1">
        <f t="shared" si="30"/>
        <v>236</v>
      </c>
      <c r="L201" s="1">
        <f t="shared" si="29"/>
        <v>0.469471562785891</v>
      </c>
    </row>
    <row r="202" spans="11:12">
      <c r="K202" s="1">
        <f t="shared" si="30"/>
        <v>237</v>
      </c>
      <c r="L202" s="1">
        <f t="shared" si="29"/>
        <v>0.477158760259608</v>
      </c>
    </row>
    <row r="203" spans="11:12">
      <c r="K203" s="1">
        <f t="shared" si="30"/>
        <v>238</v>
      </c>
      <c r="L203" s="1">
        <f t="shared" si="29"/>
        <v>0.484809620246337</v>
      </c>
    </row>
    <row r="204" spans="11:12">
      <c r="K204" s="1">
        <f t="shared" si="30"/>
        <v>239</v>
      </c>
      <c r="L204" s="1">
        <f t="shared" si="29"/>
        <v>0.492423560103467</v>
      </c>
    </row>
    <row r="205" spans="11:12">
      <c r="K205" s="1">
        <f t="shared" si="30"/>
        <v>240</v>
      </c>
      <c r="L205" s="1">
        <f t="shared" si="29"/>
        <v>0.5</v>
      </c>
    </row>
    <row r="206" spans="11:12">
      <c r="K206" s="1">
        <f t="shared" si="30"/>
        <v>241</v>
      </c>
      <c r="L206" s="1">
        <f t="shared" si="29"/>
        <v>0.507538362960704</v>
      </c>
    </row>
    <row r="207" spans="11:12">
      <c r="K207" s="1">
        <f t="shared" si="30"/>
        <v>242</v>
      </c>
      <c r="L207" s="1">
        <f t="shared" si="29"/>
        <v>0.515038074910054</v>
      </c>
    </row>
    <row r="208" spans="11:12">
      <c r="K208" s="1">
        <f t="shared" si="30"/>
        <v>243</v>
      </c>
      <c r="L208" s="1">
        <f t="shared" si="29"/>
        <v>0.522498564715949</v>
      </c>
    </row>
    <row r="209" spans="11:12">
      <c r="K209" s="1">
        <f t="shared" si="30"/>
        <v>244</v>
      </c>
      <c r="L209" s="1">
        <f t="shared" si="29"/>
        <v>0.529919264233205</v>
      </c>
    </row>
    <row r="210" spans="11:12">
      <c r="K210" s="1">
        <f t="shared" si="30"/>
        <v>245</v>
      </c>
      <c r="L210" s="1">
        <f t="shared" si="29"/>
        <v>0.537299608346824</v>
      </c>
    </row>
    <row r="211" spans="11:12">
      <c r="K211" s="1">
        <f t="shared" si="30"/>
        <v>246</v>
      </c>
      <c r="L211" s="1">
        <f t="shared" si="29"/>
        <v>0.544639035015027</v>
      </c>
    </row>
    <row r="212" spans="11:12">
      <c r="K212" s="1">
        <f t="shared" si="30"/>
        <v>247</v>
      </c>
      <c r="L212" s="1">
        <f t="shared" si="29"/>
        <v>0.551936985312058</v>
      </c>
    </row>
    <row r="213" spans="11:12">
      <c r="K213" s="1">
        <f t="shared" si="30"/>
        <v>248</v>
      </c>
      <c r="L213" s="1">
        <f t="shared" si="29"/>
        <v>0.559192903470747</v>
      </c>
    </row>
    <row r="214" spans="11:12">
      <c r="K214" s="1">
        <f t="shared" si="30"/>
        <v>249</v>
      </c>
      <c r="L214" s="1">
        <f t="shared" si="29"/>
        <v>0.566406236924833</v>
      </c>
    </row>
    <row r="215" spans="11:12">
      <c r="K215" s="1">
        <f t="shared" si="30"/>
        <v>250</v>
      </c>
      <c r="L215" s="1">
        <f t="shared" si="29"/>
        <v>0.573576436351046</v>
      </c>
    </row>
    <row r="216" spans="11:12">
      <c r="K216" s="1">
        <f t="shared" si="30"/>
        <v>251</v>
      </c>
      <c r="L216" s="1">
        <f t="shared" ref="L216:L235" si="31">ABS(SQRT(2)*$E$45*COS((K216*PI()/180)/2))</f>
        <v>0.58070295571094</v>
      </c>
    </row>
    <row r="217" spans="11:12">
      <c r="K217" s="1">
        <f t="shared" ref="K217:K235" si="32">K216+1</f>
        <v>252</v>
      </c>
      <c r="L217" s="1">
        <f t="shared" si="31"/>
        <v>0.587785252292473</v>
      </c>
    </row>
    <row r="218" spans="11:12">
      <c r="K218" s="1">
        <f t="shared" si="32"/>
        <v>253</v>
      </c>
      <c r="L218" s="1">
        <f t="shared" si="31"/>
        <v>0.594822786751341</v>
      </c>
    </row>
    <row r="219" spans="11:12">
      <c r="K219" s="1">
        <f t="shared" si="32"/>
        <v>254</v>
      </c>
      <c r="L219" s="1">
        <f t="shared" si="31"/>
        <v>0.601815023152048</v>
      </c>
    </row>
    <row r="220" spans="11:12">
      <c r="K220" s="1">
        <f t="shared" si="32"/>
        <v>255</v>
      </c>
      <c r="L220" s="1">
        <f t="shared" si="31"/>
        <v>0.608761429008721</v>
      </c>
    </row>
    <row r="221" spans="11:12">
      <c r="K221" s="1">
        <f t="shared" si="32"/>
        <v>256</v>
      </c>
      <c r="L221" s="1">
        <f t="shared" si="31"/>
        <v>0.615661475325658</v>
      </c>
    </row>
    <row r="222" spans="11:12">
      <c r="K222" s="1">
        <f t="shared" si="32"/>
        <v>257</v>
      </c>
      <c r="L222" s="1">
        <f t="shared" si="31"/>
        <v>0.622514636637619</v>
      </c>
    </row>
    <row r="223" spans="11:12">
      <c r="K223" s="1">
        <f t="shared" si="32"/>
        <v>258</v>
      </c>
      <c r="L223" s="1">
        <f t="shared" si="31"/>
        <v>0.629320391049837</v>
      </c>
    </row>
    <row r="224" spans="11:12">
      <c r="K224" s="1">
        <f t="shared" si="32"/>
        <v>259</v>
      </c>
      <c r="L224" s="1">
        <f t="shared" si="31"/>
        <v>0.636078220277764</v>
      </c>
    </row>
    <row r="225" spans="11:12">
      <c r="K225" s="1">
        <f t="shared" si="32"/>
        <v>260</v>
      </c>
      <c r="L225" s="1">
        <f t="shared" si="31"/>
        <v>0.642787609686539</v>
      </c>
    </row>
    <row r="226" spans="11:12">
      <c r="K226" s="1">
        <f t="shared" si="32"/>
        <v>261</v>
      </c>
      <c r="L226" s="1">
        <f t="shared" si="31"/>
        <v>0.649448048330184</v>
      </c>
    </row>
    <row r="227" spans="11:12">
      <c r="K227" s="1">
        <f t="shared" si="32"/>
        <v>262</v>
      </c>
      <c r="L227" s="1">
        <f t="shared" si="31"/>
        <v>0.656059028990507</v>
      </c>
    </row>
    <row r="228" spans="11:12">
      <c r="K228" s="1">
        <f t="shared" si="32"/>
        <v>263</v>
      </c>
      <c r="L228" s="1">
        <f t="shared" si="31"/>
        <v>0.662620048215738</v>
      </c>
    </row>
    <row r="229" spans="11:12">
      <c r="K229" s="1">
        <f t="shared" si="32"/>
        <v>264</v>
      </c>
      <c r="L229" s="1">
        <f t="shared" si="31"/>
        <v>0.669130606358858</v>
      </c>
    </row>
    <row r="230" spans="11:12">
      <c r="K230" s="1">
        <f t="shared" si="32"/>
        <v>265</v>
      </c>
      <c r="L230" s="1">
        <f t="shared" si="31"/>
        <v>0.67559020761566</v>
      </c>
    </row>
    <row r="231" spans="11:12">
      <c r="K231" s="1">
        <f t="shared" si="32"/>
        <v>266</v>
      </c>
      <c r="L231" s="1">
        <f t="shared" si="31"/>
        <v>0.681998360062498</v>
      </c>
    </row>
    <row r="232" spans="11:12">
      <c r="K232" s="1">
        <f t="shared" si="32"/>
        <v>267</v>
      </c>
      <c r="L232" s="1">
        <f t="shared" si="31"/>
        <v>0.688354575693754</v>
      </c>
    </row>
    <row r="233" spans="11:12">
      <c r="K233" s="1">
        <f t="shared" si="32"/>
        <v>268</v>
      </c>
      <c r="L233" s="1">
        <f t="shared" si="31"/>
        <v>0.694658370458997</v>
      </c>
    </row>
    <row r="234" spans="11:12">
      <c r="K234" s="1">
        <f t="shared" si="32"/>
        <v>269</v>
      </c>
      <c r="L234" s="1">
        <f t="shared" si="31"/>
        <v>0.700909264299851</v>
      </c>
    </row>
    <row r="235" spans="11:12">
      <c r="K235" s="1">
        <f t="shared" si="32"/>
        <v>270</v>
      </c>
      <c r="L235" s="1">
        <f t="shared" si="31"/>
        <v>0.707106781186547</v>
      </c>
    </row>
  </sheetData>
  <mergeCells count="7">
    <mergeCell ref="D1:I1"/>
    <mergeCell ref="D2:E2"/>
    <mergeCell ref="F2:G2"/>
    <mergeCell ref="H2:I2"/>
    <mergeCell ref="J2:K2"/>
    <mergeCell ref="L2:M2"/>
    <mergeCell ref="N2:O2"/>
  </mergeCells>
  <pageMargins left="0.75" right="0.75" top="1" bottom="1" header="0.5" footer="0.5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H78"/>
  <sheetViews>
    <sheetView zoomScale="85" zoomScaleNormal="85" topLeftCell="A3" workbookViewId="0">
      <selection activeCell="G2" sqref="G2:M2"/>
    </sheetView>
  </sheetViews>
  <sheetFormatPr defaultColWidth="11.5333333333333" defaultRowHeight="12.8" customHeight="1"/>
  <cols>
    <col min="2" max="2" width="2.59047619047619" customWidth="1"/>
    <col min="3" max="3" width="16.2857142857143" customWidth="1"/>
    <col min="4" max="4" width="21.3619047619048" style="1" customWidth="1"/>
    <col min="5" max="5" width="21.9904761904762" customWidth="1"/>
    <col min="6" max="6" width="2.59047619047619" customWidth="1"/>
    <col min="7" max="7" width="25.9619047619048" style="34" hidden="1" customWidth="1" outlineLevel="1"/>
    <col min="8" max="8" width="2.59047619047619" hidden="1" customWidth="1" outlineLevel="1"/>
    <col min="9" max="9" width="25.9619047619048" hidden="1" customWidth="1" outlineLevel="1"/>
    <col min="10" max="10" width="2.59047619047619" hidden="1" customWidth="1" outlineLevel="1"/>
    <col min="11" max="11" width="25.9619047619048" hidden="1" customWidth="1" outlineLevel="1"/>
    <col min="12" max="12" width="2.59047619047619" hidden="1" customWidth="1" outlineLevel="1"/>
    <col min="13" max="13" width="25.9619047619048" customWidth="1" collapsed="1"/>
    <col min="14" max="14" width="2.59047619047619" customWidth="1"/>
    <col min="15" max="15" width="25.9619047619048" style="34" hidden="1" customWidth="1" outlineLevel="1"/>
    <col min="16" max="16" width="2.59047619047619" hidden="1" customWidth="1" outlineLevel="1"/>
    <col min="17" max="17" width="25.9619047619048" style="34" hidden="1" customWidth="1" outlineLevel="1"/>
    <col min="18" max="18" width="2.59047619047619" hidden="1" customWidth="1" outlineLevel="1"/>
    <col min="19" max="19" width="25.9619047619048" style="34" hidden="1" customWidth="1" outlineLevel="1"/>
    <col min="20" max="20" width="2.64761904761905" hidden="1" customWidth="1" outlineLevel="1"/>
    <col min="21" max="24" width="12.9714285714286" style="34" hidden="1" customWidth="1" outlineLevel="1"/>
    <col min="25" max="25" width="23.1428571428571" style="34" customWidth="1" collapsed="1"/>
    <col min="26" max="26" width="2.59047619047619" customWidth="1"/>
    <col min="27" max="27" width="15.2857142857143" customWidth="1" outlineLevel="1"/>
    <col min="28" max="28" width="13.8571428571429" style="27" customWidth="1" outlineLevel="1"/>
    <col min="29" max="29" width="12.9714285714286" customWidth="1" outlineLevel="1"/>
    <col min="30" max="30" width="25.9619047619048" customWidth="1"/>
    <col min="31" max="31" width="2.59047619047619" customWidth="1"/>
    <col min="32" max="33" width="27.4285714285714" customWidth="1"/>
  </cols>
  <sheetData>
    <row r="1" ht="9.45" customHeight="1" spans="1:31">
      <c r="A1" s="35"/>
      <c r="B1" s="35"/>
      <c r="C1" s="36"/>
      <c r="D1" s="37"/>
      <c r="E1" s="36"/>
      <c r="F1" s="36"/>
      <c r="G1" s="38"/>
      <c r="H1" s="36"/>
      <c r="I1" s="36"/>
      <c r="J1" s="36"/>
      <c r="K1" s="36"/>
      <c r="L1" s="36"/>
      <c r="M1" s="36"/>
      <c r="N1" s="36"/>
      <c r="O1" s="45"/>
      <c r="P1" s="36"/>
      <c r="Q1" s="45"/>
      <c r="R1" s="36"/>
      <c r="S1" s="45"/>
      <c r="T1" s="36"/>
      <c r="U1" s="45"/>
      <c r="V1" s="45"/>
      <c r="W1" s="45"/>
      <c r="X1" s="45"/>
      <c r="Y1" s="45"/>
      <c r="Z1" s="36"/>
      <c r="AA1" s="36"/>
      <c r="AB1" s="67"/>
      <c r="AC1" s="36"/>
      <c r="AD1" s="36"/>
      <c r="AE1" s="36"/>
    </row>
    <row r="2" ht="52.2" customHeight="1" spans="1:31">
      <c r="A2" s="35"/>
      <c r="B2" s="35"/>
      <c r="C2" s="36"/>
      <c r="D2" s="37"/>
      <c r="E2" s="36"/>
      <c r="F2" s="36"/>
      <c r="G2" s="39" t="s">
        <v>0</v>
      </c>
      <c r="H2" s="39"/>
      <c r="I2" s="39"/>
      <c r="J2" s="39"/>
      <c r="K2" s="39"/>
      <c r="L2" s="39"/>
      <c r="M2" s="39"/>
      <c r="N2" s="36"/>
      <c r="O2" s="39" t="s">
        <v>1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6"/>
      <c r="AA2" s="68" t="s">
        <v>2</v>
      </c>
      <c r="AB2" s="68"/>
      <c r="AC2" s="68"/>
      <c r="AD2" s="68"/>
      <c r="AE2" s="36"/>
    </row>
    <row r="3" ht="41.35" customHeight="1" spans="1:31">
      <c r="A3" s="35"/>
      <c r="B3" s="35"/>
      <c r="C3" s="36"/>
      <c r="D3" s="37"/>
      <c r="E3" s="36"/>
      <c r="F3" s="36"/>
      <c r="G3" s="40" t="s">
        <v>3</v>
      </c>
      <c r="H3" s="41"/>
      <c r="I3" s="40" t="s">
        <v>4</v>
      </c>
      <c r="J3" s="60"/>
      <c r="K3" s="40" t="s">
        <v>5</v>
      </c>
      <c r="L3" s="41"/>
      <c r="M3" s="40" t="s">
        <v>6</v>
      </c>
      <c r="N3" s="61"/>
      <c r="O3" s="40" t="s">
        <v>7</v>
      </c>
      <c r="P3" s="61"/>
      <c r="Q3" s="40" t="s">
        <v>8</v>
      </c>
      <c r="R3" s="61"/>
      <c r="S3" s="40" t="s">
        <v>9</v>
      </c>
      <c r="T3" s="61"/>
      <c r="U3" s="66" t="s">
        <v>10</v>
      </c>
      <c r="V3" s="66"/>
      <c r="W3" s="66"/>
      <c r="X3" s="66"/>
      <c r="Y3" s="66"/>
      <c r="Z3" s="61"/>
      <c r="AA3" s="68"/>
      <c r="AB3" s="68"/>
      <c r="AC3" s="68"/>
      <c r="AD3" s="68"/>
      <c r="AE3" s="36"/>
    </row>
    <row r="4" ht="19.65" customHeight="1" spans="1:31">
      <c r="A4" s="35"/>
      <c r="B4" s="35"/>
      <c r="C4" s="36"/>
      <c r="D4" s="37"/>
      <c r="E4" s="36"/>
      <c r="F4" s="36"/>
      <c r="G4" s="42" t="s">
        <v>11</v>
      </c>
      <c r="H4" s="43"/>
      <c r="I4" s="42" t="s">
        <v>12</v>
      </c>
      <c r="J4" s="62"/>
      <c r="K4" s="42" t="s">
        <v>13</v>
      </c>
      <c r="L4" s="61"/>
      <c r="M4" s="63">
        <v>0.33</v>
      </c>
      <c r="N4" s="61"/>
      <c r="O4" s="42" t="s">
        <v>14</v>
      </c>
      <c r="P4" s="64"/>
      <c r="Q4" s="42" t="s">
        <v>15</v>
      </c>
      <c r="R4" s="64"/>
      <c r="S4" s="42" t="s">
        <v>16</v>
      </c>
      <c r="T4" s="64"/>
      <c r="V4" s="42"/>
      <c r="W4" s="42"/>
      <c r="X4" s="42"/>
      <c r="Y4" s="69">
        <v>0</v>
      </c>
      <c r="Z4" s="61"/>
      <c r="AB4" s="70">
        <f>($E$40/($E$60*$E$43))</f>
        <v>40.8739984023044</v>
      </c>
      <c r="AE4" s="36"/>
    </row>
    <row r="5" ht="42.5" customHeight="1" spans="1:31">
      <c r="A5" s="44"/>
      <c r="B5" s="44"/>
      <c r="C5" s="44"/>
      <c r="D5" s="44"/>
      <c r="E5" s="36"/>
      <c r="F5" s="36"/>
      <c r="H5" s="36"/>
      <c r="J5" s="36"/>
      <c r="L5" s="36"/>
      <c r="M5" t="s">
        <v>17</v>
      </c>
      <c r="N5" s="36"/>
      <c r="P5" s="36"/>
      <c r="R5" s="36"/>
      <c r="T5" s="36"/>
      <c r="Z5" s="36"/>
      <c r="AE5" s="36"/>
    </row>
    <row r="6" ht="8.2" customHeight="1" spans="1:31">
      <c r="A6" s="35"/>
      <c r="B6" s="35"/>
      <c r="C6" s="36"/>
      <c r="D6" s="37"/>
      <c r="E6" s="36"/>
      <c r="F6" s="36"/>
      <c r="G6" s="45"/>
      <c r="H6" s="36"/>
      <c r="I6" s="36"/>
      <c r="J6" s="36"/>
      <c r="K6" s="36"/>
      <c r="L6" s="36"/>
      <c r="M6" s="36"/>
      <c r="N6" s="36"/>
      <c r="O6" s="45"/>
      <c r="P6" s="36"/>
      <c r="Q6" s="45"/>
      <c r="R6" s="36"/>
      <c r="S6" s="45"/>
      <c r="T6" s="36"/>
      <c r="U6" s="45"/>
      <c r="V6" s="45"/>
      <c r="W6" s="45"/>
      <c r="X6" s="45"/>
      <c r="Y6" s="45"/>
      <c r="Z6" s="36"/>
      <c r="AA6" s="36"/>
      <c r="AB6" s="67"/>
      <c r="AC6" s="36"/>
      <c r="AD6" s="36"/>
      <c r="AE6" s="36"/>
    </row>
    <row r="7" ht="18" spans="1:33">
      <c r="A7" s="46" t="s">
        <v>18</v>
      </c>
      <c r="B7" s="47"/>
      <c r="C7" s="46" t="s">
        <v>19</v>
      </c>
      <c r="D7" s="48" t="s">
        <v>20</v>
      </c>
      <c r="E7" s="49" t="s">
        <v>21</v>
      </c>
      <c r="F7" s="36"/>
      <c r="G7" s="50" t="s">
        <v>22</v>
      </c>
      <c r="H7" s="36"/>
      <c r="I7" s="46" t="s">
        <v>23</v>
      </c>
      <c r="J7" s="36"/>
      <c r="K7" s="46" t="s">
        <v>24</v>
      </c>
      <c r="L7" s="36"/>
      <c r="M7" s="46" t="s">
        <v>25</v>
      </c>
      <c r="N7" s="36"/>
      <c r="O7" s="65" t="s">
        <v>26</v>
      </c>
      <c r="P7" s="36"/>
      <c r="Q7" s="65" t="s">
        <v>26</v>
      </c>
      <c r="R7" s="36"/>
      <c r="S7" s="65" t="s">
        <v>26</v>
      </c>
      <c r="T7" s="36"/>
      <c r="U7" s="65" t="s">
        <v>27</v>
      </c>
      <c r="V7" s="65" t="s">
        <v>28</v>
      </c>
      <c r="W7" s="65" t="s">
        <v>29</v>
      </c>
      <c r="X7" s="65" t="s">
        <v>30</v>
      </c>
      <c r="Y7" s="46" t="s">
        <v>31</v>
      </c>
      <c r="Z7" s="36"/>
      <c r="AA7" s="71" t="s">
        <v>32</v>
      </c>
      <c r="AB7" s="71" t="s">
        <v>33</v>
      </c>
      <c r="AC7" s="71" t="s">
        <v>34</v>
      </c>
      <c r="AD7" s="46" t="s">
        <v>35</v>
      </c>
      <c r="AE7" s="36"/>
      <c r="AF7" s="46" t="s">
        <v>34</v>
      </c>
      <c r="AG7" s="46" t="s">
        <v>35</v>
      </c>
    </row>
    <row r="8" ht="12.75" spans="1:33">
      <c r="A8" s="25">
        <v>0</v>
      </c>
      <c r="B8" s="36"/>
      <c r="C8">
        <f t="shared" ref="C8:C36" si="0">1000000*(A8/100)*$E$45/$E$41</f>
        <v>0</v>
      </c>
      <c r="D8" s="1">
        <f>C8/10000</f>
        <v>0</v>
      </c>
      <c r="E8" s="26">
        <f t="shared" ref="E8:E36" si="1">1-D8</f>
        <v>1</v>
      </c>
      <c r="F8" s="36"/>
      <c r="G8" s="34">
        <f t="shared" ref="G8:G36" si="2">E8*$E$57+D8*$E$46</f>
        <v>1.00053779988</v>
      </c>
      <c r="H8" s="36"/>
      <c r="I8" s="34">
        <f t="shared" ref="I8:I36" si="3">(E8*$E$57^(1/2)+D8*$E$46^(1/2))^2</f>
        <v>1.00053779988</v>
      </c>
      <c r="J8" s="36"/>
      <c r="K8" s="34">
        <f t="shared" ref="K8:K36" si="4">(E8*$E$57^(1/3)+D8*$E$46^(1/3))^3</f>
        <v>1.00053779988</v>
      </c>
      <c r="L8" s="36"/>
      <c r="M8" s="34">
        <f>(E8*$E$57^($M$4)+D8*$E$46^($M$4))^(1/$M$4)</f>
        <v>1.00053779988</v>
      </c>
      <c r="N8" s="36"/>
      <c r="O8" s="34">
        <f t="shared" ref="O8:O36" si="5">$E$57+3*D8*$E$57*(($E$46-$E$57)/($E$46+2*$E$57-D8*($E$46-$E$57)))</f>
        <v>1.00053779988</v>
      </c>
      <c r="P8" s="36"/>
      <c r="R8" s="36"/>
      <c r="T8" s="36"/>
      <c r="U8" s="34">
        <f>$Y$4</f>
        <v>0</v>
      </c>
      <c r="V8" s="34">
        <f>$E$46*(1-D8*(1+$Y$4))+$E$57*(2+D8*(1+$Y$4))</f>
        <v>22.70107559976</v>
      </c>
      <c r="W8" s="34">
        <f t="shared" ref="W8:W36" si="6">-($E$46-$E$57)*D8*3*$E$57</f>
        <v>0</v>
      </c>
      <c r="X8" s="34">
        <f t="shared" ref="X8:X36" si="7">IF(U8=0,-W8/V8,(-V8+SQRT(V8^2-4*U8*W8))/2*U8)</f>
        <v>0</v>
      </c>
      <c r="Y8" s="34">
        <f t="shared" ref="Y8:Y36" si="8">X8+$E$57</f>
        <v>1.00053779988</v>
      </c>
      <c r="Z8" s="36"/>
      <c r="AA8" s="72">
        <f t="shared" ref="AA8:AA36" si="9">E8^2*$AB$48+2*E8*D8*$AB$50+D8^2*$AB$49</f>
        <v>-7.62444260891735e-6</v>
      </c>
      <c r="AB8" s="34">
        <f t="shared" ref="AB8:AB36" si="10">$E$40/(($E$60*$E$43)*(1+(AA9*$E$40/($E$60*$E$43))))</f>
        <v>40.8867623854964</v>
      </c>
      <c r="AC8" s="24">
        <f t="shared" ref="AC8:AC36" si="11">$E$56*E8+$E$47*D8</f>
        <v>4.38504924667602</v>
      </c>
      <c r="AD8" s="34">
        <f t="shared" ref="AD8:AD36" si="12">(2*(AB8)*AC8*0.000001+1)/(1-(AB8)*AC8*0.000001)</f>
        <v>1.0005379678523</v>
      </c>
      <c r="AE8" s="36"/>
      <c r="AF8" s="1">
        <f t="shared" ref="AF8:AF36" si="13">$E$56*E8+$E$47*D8</f>
        <v>4.38504924667602</v>
      </c>
      <c r="AG8" s="1">
        <f t="shared" ref="AG8:AG36" si="14">(2*($E$40/($E$60*$E$43))*AF8*0.000001+1)/(1-($E$40/($E$60*$E$43))*AF8*0.000001)</f>
        <v>1.00053779988</v>
      </c>
    </row>
    <row r="9" ht="12.75" spans="1:33">
      <c r="A9" s="25">
        <v>0.1</v>
      </c>
      <c r="B9" s="36"/>
      <c r="C9">
        <f t="shared" si="0"/>
        <v>303.829642572323</v>
      </c>
      <c r="D9" s="1">
        <f t="shared" ref="D9:D36" si="15">C9/1000000</f>
        <v>0.000303829642572323</v>
      </c>
      <c r="E9" s="26">
        <f t="shared" si="1"/>
        <v>0.999696170357428</v>
      </c>
      <c r="F9" s="36"/>
      <c r="G9" s="34">
        <f t="shared" si="2"/>
        <v>1.00652308043913</v>
      </c>
      <c r="H9" s="36"/>
      <c r="I9" s="34">
        <f t="shared" si="3"/>
        <v>1.0026964029333</v>
      </c>
      <c r="J9" s="36"/>
      <c r="K9" s="34">
        <f t="shared" si="4"/>
        <v>1.00213025854042</v>
      </c>
      <c r="L9" s="36"/>
      <c r="M9" s="34">
        <f>(E9*$E$57^($M$4)+D9*$E$46^($M$4))^(1/$M$4)</f>
        <v>1.00212091996823</v>
      </c>
      <c r="N9" s="36"/>
      <c r="O9" s="34">
        <f t="shared" si="5"/>
        <v>1.00132940273657</v>
      </c>
      <c r="P9" s="36"/>
      <c r="R9" s="36"/>
      <c r="T9" s="36"/>
      <c r="U9" s="34">
        <f>$Y$4</f>
        <v>0</v>
      </c>
      <c r="V9" s="34">
        <f>$E$46*(1-D9*(1+$Y$4))+$E$57*(2+D9*(1+$Y$4))</f>
        <v>22.6950903192009</v>
      </c>
      <c r="W9" s="34">
        <f t="shared" si="6"/>
        <v>-0.0179654983268877</v>
      </c>
      <c r="X9" s="34">
        <f t="shared" si="7"/>
        <v>0.00079160285657415</v>
      </c>
      <c r="Y9" s="34">
        <f t="shared" si="8"/>
        <v>1.00132940273657</v>
      </c>
      <c r="Z9" s="36"/>
      <c r="AA9" s="72">
        <f t="shared" si="9"/>
        <v>-7.63759064593944e-6</v>
      </c>
      <c r="AB9" s="34">
        <f t="shared" si="10"/>
        <v>40.8867843497271</v>
      </c>
      <c r="AC9" s="24">
        <f t="shared" si="11"/>
        <v>10.8346626651758</v>
      </c>
      <c r="AD9" s="34">
        <f t="shared" si="12"/>
        <v>1.00132957254102</v>
      </c>
      <c r="AE9" s="36"/>
      <c r="AF9" s="1">
        <f t="shared" si="13"/>
        <v>10.8346626651758</v>
      </c>
      <c r="AG9" s="1">
        <f t="shared" si="14"/>
        <v>1.00132915657834</v>
      </c>
    </row>
    <row r="10" ht="12.75" hidden="1" spans="1:33">
      <c r="A10" s="25">
        <v>0.2</v>
      </c>
      <c r="B10" s="36"/>
      <c r="C10">
        <f t="shared" si="0"/>
        <v>607.659285144647</v>
      </c>
      <c r="D10" s="1">
        <f t="shared" si="15"/>
        <v>0.000607659285144647</v>
      </c>
      <c r="E10" s="26">
        <f t="shared" si="1"/>
        <v>0.999392340714855</v>
      </c>
      <c r="F10" s="36"/>
      <c r="G10" s="34">
        <f t="shared" si="2"/>
        <v>1.01250836099826</v>
      </c>
      <c r="H10" s="36"/>
      <c r="I10" s="34">
        <f t="shared" si="3"/>
        <v>1.00485733200943</v>
      </c>
      <c r="J10" s="36"/>
      <c r="K10" s="34">
        <f t="shared" si="4"/>
        <v>1.0037244060127</v>
      </c>
      <c r="L10" s="36"/>
      <c r="M10" s="34">
        <f>(E10*$E$57^($M$4)+D10*$E$46^($M$4))^(1/$M$4)</f>
        <v>1.00370571747854</v>
      </c>
      <c r="N10" s="36"/>
      <c r="O10" s="34">
        <f t="shared" si="5"/>
        <v>1.00212142323546</v>
      </c>
      <c r="P10" s="36"/>
      <c r="R10" s="36"/>
      <c r="T10" s="36"/>
      <c r="U10" s="34">
        <f>$Y$4</f>
        <v>0</v>
      </c>
      <c r="V10" s="34">
        <f>$E$46*(1-D10*(1+$Y$4))+$E$57*(2+D10*(1+$Y$4))</f>
        <v>22.6891050386417</v>
      </c>
      <c r="W10" s="34">
        <f t="shared" si="6"/>
        <v>-0.0359309966537755</v>
      </c>
      <c r="X10" s="34">
        <f t="shared" si="7"/>
        <v>0.00158362335546429</v>
      </c>
      <c r="Y10" s="34">
        <f t="shared" si="8"/>
        <v>1.00212142323546</v>
      </c>
      <c r="Z10" s="36"/>
      <c r="AA10" s="72">
        <f t="shared" si="9"/>
        <v>-7.65072928313991e-6</v>
      </c>
      <c r="AB10" s="34">
        <f t="shared" si="10"/>
        <v>40.8868062982676</v>
      </c>
      <c r="AC10" s="24">
        <f t="shared" si="11"/>
        <v>17.2842760836756</v>
      </c>
      <c r="AD10" s="34">
        <f t="shared" si="12"/>
        <v>1.00212159587408</v>
      </c>
      <c r="AE10" s="36"/>
      <c r="AF10" s="1">
        <f t="shared" si="13"/>
        <v>17.2842760836756</v>
      </c>
      <c r="AG10" s="1">
        <f t="shared" si="14"/>
        <v>1.00212093080893</v>
      </c>
    </row>
    <row r="11" ht="12.75" hidden="1" spans="1:33">
      <c r="A11" s="25">
        <v>0.3</v>
      </c>
      <c r="B11" s="36"/>
      <c r="C11">
        <f t="shared" si="0"/>
        <v>911.48892771697</v>
      </c>
      <c r="D11" s="1">
        <f t="shared" si="15"/>
        <v>0.00091148892771697</v>
      </c>
      <c r="E11" s="26">
        <f t="shared" si="1"/>
        <v>0.999088511072283</v>
      </c>
      <c r="F11" s="36"/>
      <c r="G11" s="34">
        <f t="shared" si="2"/>
        <v>1.01849364155739</v>
      </c>
      <c r="H11" s="36"/>
      <c r="I11" s="34">
        <f t="shared" si="3"/>
        <v>1.00702058710839</v>
      </c>
      <c r="J11" s="36"/>
      <c r="K11" s="34">
        <f t="shared" si="4"/>
        <v>1.00532024319184</v>
      </c>
      <c r="L11" s="36"/>
      <c r="M11" s="34">
        <f>(E11*$E$57^($M$4)+D11*$E$46^($M$4))^(1/$M$4)</f>
        <v>1.00529219331239</v>
      </c>
      <c r="N11" s="36"/>
      <c r="O11" s="34">
        <f t="shared" si="5"/>
        <v>1.00291386170727</v>
      </c>
      <c r="P11" s="36"/>
      <c r="R11" s="36"/>
      <c r="T11" s="36"/>
      <c r="U11" s="34">
        <f>$Y$4</f>
        <v>0</v>
      </c>
      <c r="V11" s="34">
        <f>$E$46*(1-D11*(1+$Y$4))+$E$57*(2+D11*(1+$Y$4))</f>
        <v>22.6831197580826</v>
      </c>
      <c r="W11" s="34">
        <f t="shared" si="6"/>
        <v>-0.0538964949806632</v>
      </c>
      <c r="X11" s="34">
        <f t="shared" si="7"/>
        <v>0.00237606182727393</v>
      </c>
      <c r="Y11" s="34">
        <f t="shared" si="8"/>
        <v>1.00291386170727</v>
      </c>
      <c r="Z11" s="36"/>
      <c r="AA11" s="72">
        <f t="shared" si="9"/>
        <v>-7.66385852051874e-6</v>
      </c>
      <c r="AB11" s="34">
        <f t="shared" si="10"/>
        <v>40.8868282311176</v>
      </c>
      <c r="AC11" s="24">
        <f t="shared" si="11"/>
        <v>23.7338895021755</v>
      </c>
      <c r="AD11" s="34">
        <f t="shared" si="12"/>
        <v>1.00291403818274</v>
      </c>
      <c r="AE11" s="36"/>
      <c r="AF11" s="1">
        <f t="shared" si="13"/>
        <v>23.7338895021755</v>
      </c>
      <c r="AG11" s="1">
        <f t="shared" si="14"/>
        <v>1.00291312290228</v>
      </c>
    </row>
    <row r="12" ht="12.75" hidden="1" spans="1:33">
      <c r="A12" s="25">
        <v>0.4</v>
      </c>
      <c r="B12" s="36"/>
      <c r="C12">
        <f t="shared" si="0"/>
        <v>1215.31857028929</v>
      </c>
      <c r="D12" s="1">
        <f t="shared" si="15"/>
        <v>0.00121531857028929</v>
      </c>
      <c r="E12" s="26">
        <f t="shared" si="1"/>
        <v>0.998784681429711</v>
      </c>
      <c r="F12" s="36"/>
      <c r="G12" s="34">
        <f t="shared" si="2"/>
        <v>1.02447892211652</v>
      </c>
      <c r="H12" s="36"/>
      <c r="I12" s="34">
        <f t="shared" si="3"/>
        <v>1.00918616823019</v>
      </c>
      <c r="J12" s="36"/>
      <c r="K12" s="34">
        <f t="shared" si="4"/>
        <v>1.00691777097289</v>
      </c>
      <c r="L12" s="36"/>
      <c r="M12" s="34">
        <f>(E12*$E$57^($M$4)+D12*$E$46^($M$4))^(1/$M$4)</f>
        <v>1.00688034837125</v>
      </c>
      <c r="N12" s="36"/>
      <c r="O12" s="34">
        <f t="shared" si="5"/>
        <v>1.00370671848295</v>
      </c>
      <c r="P12" s="36"/>
      <c r="R12" s="36"/>
      <c r="T12" s="36"/>
      <c r="U12" s="34">
        <f>$Y$4</f>
        <v>0</v>
      </c>
      <c r="V12" s="34">
        <f>$E$46*(1-D12*(1+$Y$4))+$E$57*(2+D12*(1+$Y$4))</f>
        <v>22.6771344775235</v>
      </c>
      <c r="W12" s="34">
        <f t="shared" si="6"/>
        <v>-0.0718619933075509</v>
      </c>
      <c r="X12" s="34">
        <f t="shared" si="7"/>
        <v>0.00316891860295564</v>
      </c>
      <c r="Y12" s="34">
        <f t="shared" si="8"/>
        <v>1.00370671848295</v>
      </c>
      <c r="Z12" s="36"/>
      <c r="AA12" s="72">
        <f t="shared" si="9"/>
        <v>-7.67697835807594e-6</v>
      </c>
      <c r="AB12" s="34">
        <f t="shared" si="10"/>
        <v>40.8868501482771</v>
      </c>
      <c r="AC12" s="24">
        <f t="shared" si="11"/>
        <v>30.1835029206753</v>
      </c>
      <c r="AD12" s="34">
        <f t="shared" si="12"/>
        <v>1.00370689979864</v>
      </c>
      <c r="AE12" s="36"/>
      <c r="AF12" s="1">
        <f t="shared" si="13"/>
        <v>30.1835029206753</v>
      </c>
      <c r="AG12" s="1">
        <f t="shared" si="14"/>
        <v>1.00370573318929</v>
      </c>
    </row>
    <row r="13" ht="12.75" hidden="1" spans="1:33">
      <c r="A13" s="25">
        <v>0.5</v>
      </c>
      <c r="B13" s="36"/>
      <c r="C13">
        <f t="shared" si="0"/>
        <v>1519.14821286162</v>
      </c>
      <c r="D13" s="1">
        <f t="shared" si="15"/>
        <v>0.00151914821286162</v>
      </c>
      <c r="E13" s="26">
        <f t="shared" si="1"/>
        <v>0.998480851787138</v>
      </c>
      <c r="F13" s="36"/>
      <c r="G13" s="34">
        <f t="shared" si="2"/>
        <v>1.03046420267565</v>
      </c>
      <c r="H13" s="36"/>
      <c r="I13" s="34">
        <f t="shared" si="3"/>
        <v>1.01135407537481</v>
      </c>
      <c r="J13" s="36"/>
      <c r="K13" s="34">
        <f t="shared" si="4"/>
        <v>1.00851699025086</v>
      </c>
      <c r="L13" s="36"/>
      <c r="M13" s="34">
        <f>(E13*$E$57^($M$4)+D13*$E$46^($M$4))^(1/$M$4)</f>
        <v>1.00847018355663</v>
      </c>
      <c r="N13" s="36"/>
      <c r="O13" s="34">
        <f t="shared" si="5"/>
        <v>1.00449999389381</v>
      </c>
      <c r="P13" s="36"/>
      <c r="R13" s="36"/>
      <c r="T13" s="36"/>
      <c r="U13" s="34">
        <f>$Y$4</f>
        <v>0</v>
      </c>
      <c r="V13" s="34">
        <f>$E$46*(1-D13*(1+$Y$4))+$E$57*(2+D13*(1+$Y$4))</f>
        <v>22.6711491969643</v>
      </c>
      <c r="W13" s="34">
        <f t="shared" si="6"/>
        <v>-0.0898274916344386</v>
      </c>
      <c r="X13" s="34">
        <f t="shared" si="7"/>
        <v>0.00396219401381146</v>
      </c>
      <c r="Y13" s="34">
        <f t="shared" si="8"/>
        <v>1.00449999389381</v>
      </c>
      <c r="Z13" s="36"/>
      <c r="AA13" s="72">
        <f t="shared" si="9"/>
        <v>-7.69008879581152e-6</v>
      </c>
      <c r="AB13" s="34">
        <f t="shared" si="10"/>
        <v>40.8868720497461</v>
      </c>
      <c r="AC13" s="24">
        <f t="shared" si="11"/>
        <v>36.6331163391751</v>
      </c>
      <c r="AD13" s="34">
        <f t="shared" si="12"/>
        <v>1.00450018105375</v>
      </c>
      <c r="AE13" s="36"/>
      <c r="AF13" s="1">
        <f t="shared" si="13"/>
        <v>36.6331163391751</v>
      </c>
      <c r="AG13" s="1">
        <f t="shared" si="14"/>
        <v>1.00449876200117</v>
      </c>
    </row>
    <row r="14" ht="12.75" hidden="1" spans="1:33">
      <c r="A14" s="25">
        <v>0.6</v>
      </c>
      <c r="B14" s="36"/>
      <c r="C14">
        <f t="shared" si="0"/>
        <v>1822.97785543394</v>
      </c>
      <c r="D14" s="1">
        <f t="shared" si="15"/>
        <v>0.00182297785543394</v>
      </c>
      <c r="E14" s="26">
        <f t="shared" si="1"/>
        <v>0.998177022144566</v>
      </c>
      <c r="F14" s="36"/>
      <c r="G14" s="34">
        <f t="shared" si="2"/>
        <v>1.03644948323478</v>
      </c>
      <c r="H14" s="36"/>
      <c r="I14" s="34">
        <f t="shared" si="3"/>
        <v>1.01352430854227</v>
      </c>
      <c r="J14" s="36"/>
      <c r="K14" s="34">
        <f t="shared" si="4"/>
        <v>1.01011790192077</v>
      </c>
      <c r="L14" s="36"/>
      <c r="M14" s="34">
        <f>(E14*$E$57^($M$4)+D14*$E$46^($M$4))^(1/$M$4)</f>
        <v>1.01006169977001</v>
      </c>
      <c r="N14" s="36"/>
      <c r="O14" s="34">
        <f t="shared" si="5"/>
        <v>1.00529368827149</v>
      </c>
      <c r="P14" s="36"/>
      <c r="R14" s="36"/>
      <c r="T14" s="36"/>
      <c r="U14" s="34">
        <f>$Y$4</f>
        <v>0</v>
      </c>
      <c r="V14" s="34">
        <f>$E$46*(1-D14*(1+$Y$4))+$E$57*(2+D14*(1+$Y$4))</f>
        <v>22.6651639164052</v>
      </c>
      <c r="W14" s="34">
        <f t="shared" si="6"/>
        <v>-0.107792989961326</v>
      </c>
      <c r="X14" s="34">
        <f t="shared" si="7"/>
        <v>0.00475588839149339</v>
      </c>
      <c r="Y14" s="34">
        <f t="shared" si="8"/>
        <v>1.00529368827149</v>
      </c>
      <c r="Z14" s="36"/>
      <c r="AA14" s="72">
        <f t="shared" si="9"/>
        <v>-7.70318983372547e-6</v>
      </c>
      <c r="AB14" s="34">
        <f t="shared" si="10"/>
        <v>40.8868939355245</v>
      </c>
      <c r="AC14" s="24">
        <f t="shared" si="11"/>
        <v>43.0827297576749</v>
      </c>
      <c r="AD14" s="34">
        <f t="shared" si="12"/>
        <v>1.0052938822804</v>
      </c>
      <c r="AE14" s="36"/>
      <c r="AF14" s="1">
        <f t="shared" si="13"/>
        <v>43.0827297576749</v>
      </c>
      <c r="AG14" s="1">
        <f t="shared" si="14"/>
        <v>1.00529220966952</v>
      </c>
    </row>
    <row r="15" ht="12.75" hidden="1" spans="1:33">
      <c r="A15" s="25">
        <v>0.7</v>
      </c>
      <c r="B15" s="36"/>
      <c r="C15">
        <f t="shared" si="0"/>
        <v>2126.80749800626</v>
      </c>
      <c r="D15" s="1">
        <f t="shared" si="15"/>
        <v>0.00212680749800626</v>
      </c>
      <c r="E15" s="26">
        <f t="shared" si="1"/>
        <v>0.997873192501994</v>
      </c>
      <c r="F15" s="36"/>
      <c r="G15" s="34">
        <f t="shared" si="2"/>
        <v>1.0424347637939</v>
      </c>
      <c r="H15" s="36"/>
      <c r="I15" s="34">
        <f t="shared" si="3"/>
        <v>1.01569686773257</v>
      </c>
      <c r="J15" s="36"/>
      <c r="K15" s="34">
        <f t="shared" si="4"/>
        <v>1.01172050687764</v>
      </c>
      <c r="L15" s="36"/>
      <c r="M15" s="34">
        <f>(E15*$E$57^($M$4)+D15*$E$46^($M$4))^(1/$M$4)</f>
        <v>1.01165489791294</v>
      </c>
      <c r="N15" s="36"/>
      <c r="O15" s="34">
        <f t="shared" si="5"/>
        <v>1.006087801948</v>
      </c>
      <c r="P15" s="36"/>
      <c r="R15" s="36"/>
      <c r="T15" s="36"/>
      <c r="U15" s="34">
        <f>$Y$4</f>
        <v>0</v>
      </c>
      <c r="V15" s="34">
        <f>$E$46*(1-D15*(1+$Y$4))+$E$57*(2+D15*(1+$Y$4))</f>
        <v>22.6591786358461</v>
      </c>
      <c r="W15" s="34">
        <f t="shared" si="6"/>
        <v>-0.125758488288214</v>
      </c>
      <c r="X15" s="34">
        <f t="shared" si="7"/>
        <v>0.00555000206800383</v>
      </c>
      <c r="Y15" s="34">
        <f t="shared" si="8"/>
        <v>1.006087801948</v>
      </c>
      <c r="Z15" s="36"/>
      <c r="AA15" s="72">
        <f t="shared" si="9"/>
        <v>-7.71628147181779e-6</v>
      </c>
      <c r="AB15" s="34">
        <f t="shared" si="10"/>
        <v>40.8869158056123</v>
      </c>
      <c r="AC15" s="24">
        <f t="shared" si="11"/>
        <v>49.5323431761747</v>
      </c>
      <c r="AD15" s="34">
        <f t="shared" si="12"/>
        <v>1.00608800381126</v>
      </c>
      <c r="AE15" s="36"/>
      <c r="AF15" s="1">
        <f t="shared" si="13"/>
        <v>49.5323431761747</v>
      </c>
      <c r="AG15" s="1">
        <f t="shared" si="14"/>
        <v>1.00608607652627</v>
      </c>
    </row>
    <row r="16" ht="12.75" hidden="1" spans="1:33">
      <c r="A16" s="25">
        <v>0.8</v>
      </c>
      <c r="B16" s="36"/>
      <c r="C16">
        <f t="shared" si="0"/>
        <v>2430.63714057859</v>
      </c>
      <c r="D16" s="1">
        <f t="shared" si="15"/>
        <v>0.00243063714057859</v>
      </c>
      <c r="E16" s="26">
        <f t="shared" si="1"/>
        <v>0.997569362859421</v>
      </c>
      <c r="F16" s="36"/>
      <c r="G16" s="34">
        <f t="shared" si="2"/>
        <v>1.04842004435303</v>
      </c>
      <c r="H16" s="36"/>
      <c r="I16" s="34">
        <f t="shared" si="3"/>
        <v>1.01787175294569</v>
      </c>
      <c r="J16" s="36"/>
      <c r="K16" s="34">
        <f t="shared" si="4"/>
        <v>1.01332480601651</v>
      </c>
      <c r="L16" s="36"/>
      <c r="M16" s="34">
        <f>(E16*$E$57^($M$4)+D16*$E$46^($M$4))^(1/$M$4)</f>
        <v>1.01324977888694</v>
      </c>
      <c r="N16" s="36"/>
      <c r="O16" s="34">
        <f t="shared" si="5"/>
        <v>1.00688233525569</v>
      </c>
      <c r="P16" s="36"/>
      <c r="R16" s="36"/>
      <c r="T16" s="36"/>
      <c r="U16" s="34">
        <f>$Y$4</f>
        <v>0</v>
      </c>
      <c r="V16" s="34">
        <f>$E$46*(1-D16*(1+$Y$4))+$E$57*(2+D16*(1+$Y$4))</f>
        <v>22.653193355287</v>
      </c>
      <c r="W16" s="34">
        <f t="shared" si="6"/>
        <v>-0.143723986615102</v>
      </c>
      <c r="X16" s="34">
        <f t="shared" si="7"/>
        <v>0.0063445353756961</v>
      </c>
      <c r="Y16" s="34">
        <f t="shared" si="8"/>
        <v>1.00688233525569</v>
      </c>
      <c r="Z16" s="36"/>
      <c r="AA16" s="72">
        <f t="shared" si="9"/>
        <v>-7.72936371008848e-6</v>
      </c>
      <c r="AB16" s="34">
        <f t="shared" si="10"/>
        <v>40.8869376600094</v>
      </c>
      <c r="AC16" s="24">
        <f t="shared" si="11"/>
        <v>55.9819565946745</v>
      </c>
      <c r="AD16" s="34">
        <f t="shared" si="12"/>
        <v>1.00688254597938</v>
      </c>
      <c r="AE16" s="36"/>
      <c r="AF16" s="1">
        <f t="shared" si="13"/>
        <v>55.9819565946745</v>
      </c>
      <c r="AG16" s="1">
        <f t="shared" si="14"/>
        <v>1.00688036290369</v>
      </c>
    </row>
    <row r="17" ht="12.75" hidden="1" spans="1:33">
      <c r="A17" s="25">
        <v>0.9</v>
      </c>
      <c r="B17" s="36"/>
      <c r="C17">
        <f t="shared" si="0"/>
        <v>2734.46678315091</v>
      </c>
      <c r="D17" s="1">
        <f t="shared" si="15"/>
        <v>0.00273446678315091</v>
      </c>
      <c r="E17" s="26">
        <f t="shared" si="1"/>
        <v>0.997265533216849</v>
      </c>
      <c r="F17" s="36"/>
      <c r="G17" s="34">
        <f t="shared" si="2"/>
        <v>1.05440532491216</v>
      </c>
      <c r="H17" s="36"/>
      <c r="I17" s="34">
        <f t="shared" si="3"/>
        <v>1.02004896418165</v>
      </c>
      <c r="J17" s="36"/>
      <c r="K17" s="34">
        <f t="shared" si="4"/>
        <v>1.01493080023239</v>
      </c>
      <c r="L17" s="36"/>
      <c r="M17" s="34">
        <f>(E17*$E$57^($M$4)+D17*$E$46^($M$4))^(1/$M$4)</f>
        <v>1.01484634359356</v>
      </c>
      <c r="N17" s="36"/>
      <c r="O17" s="34">
        <f t="shared" si="5"/>
        <v>1.00767728852727</v>
      </c>
      <c r="P17" s="36"/>
      <c r="R17" s="36"/>
      <c r="T17" s="36"/>
      <c r="U17" s="34">
        <f>$Y$4</f>
        <v>0</v>
      </c>
      <c r="V17" s="34">
        <f>$E$46*(1-D17*(1+$Y$4))+$E$57*(2+D17*(1+$Y$4))</f>
        <v>22.6472080747278</v>
      </c>
      <c r="W17" s="34">
        <f t="shared" si="6"/>
        <v>-0.16168948494199</v>
      </c>
      <c r="X17" s="34">
        <f t="shared" si="7"/>
        <v>0.00713948864727481</v>
      </c>
      <c r="Y17" s="34">
        <f t="shared" si="8"/>
        <v>1.00767728852727</v>
      </c>
      <c r="Z17" s="36"/>
      <c r="AA17" s="72">
        <f t="shared" si="9"/>
        <v>-7.74243654853754e-6</v>
      </c>
      <c r="AB17" s="34">
        <f t="shared" si="10"/>
        <v>40.8869594987158</v>
      </c>
      <c r="AC17" s="24">
        <f t="shared" si="11"/>
        <v>62.4315700131743</v>
      </c>
      <c r="AD17" s="34">
        <f t="shared" si="12"/>
        <v>1.00767750911812</v>
      </c>
      <c r="AE17" s="36"/>
      <c r="AF17" s="1">
        <f t="shared" si="13"/>
        <v>62.4315700131743</v>
      </c>
      <c r="AG17" s="1">
        <f t="shared" si="14"/>
        <v>1.00767506913441</v>
      </c>
    </row>
    <row r="18" ht="12.75" spans="1:33">
      <c r="A18" s="25">
        <v>1</v>
      </c>
      <c r="B18" s="36"/>
      <c r="C18">
        <f t="shared" si="0"/>
        <v>3038.29642572323</v>
      </c>
      <c r="D18" s="1">
        <f t="shared" si="15"/>
        <v>0.00303829642572323</v>
      </c>
      <c r="E18" s="26">
        <f t="shared" si="1"/>
        <v>0.996961703574277</v>
      </c>
      <c r="F18" s="36"/>
      <c r="G18" s="34">
        <f t="shared" si="2"/>
        <v>1.06039060547129</v>
      </c>
      <c r="H18" s="36"/>
      <c r="I18" s="34">
        <f t="shared" si="3"/>
        <v>1.02222850144044</v>
      </c>
      <c r="J18" s="36"/>
      <c r="K18" s="34">
        <f t="shared" si="4"/>
        <v>1.0165384904203</v>
      </c>
      <c r="L18" s="36"/>
      <c r="M18" s="34">
        <f>(E18*$E$57^($M$4)+D18*$E$46^($M$4))^(1/$M$4)</f>
        <v>1.01644459293436</v>
      </c>
      <c r="N18" s="36"/>
      <c r="O18" s="34">
        <f t="shared" si="5"/>
        <v>1.00847266209579</v>
      </c>
      <c r="P18" s="36"/>
      <c r="R18" s="36"/>
      <c r="T18" s="36"/>
      <c r="U18" s="34">
        <f>$Y$4</f>
        <v>0</v>
      </c>
      <c r="V18" s="34">
        <f>$E$46*(1-D18*(1+$Y$4))+$E$57*(2+D18*(1+$Y$4))</f>
        <v>22.6412227941687</v>
      </c>
      <c r="W18" s="34">
        <f t="shared" si="6"/>
        <v>-0.179654983268877</v>
      </c>
      <c r="X18" s="34">
        <f t="shared" si="7"/>
        <v>0.0079348622157964</v>
      </c>
      <c r="Y18" s="34">
        <f t="shared" si="8"/>
        <v>1.00847266209579</v>
      </c>
      <c r="Z18" s="36"/>
      <c r="AA18" s="72">
        <f t="shared" si="9"/>
        <v>-7.75549998716496e-6</v>
      </c>
      <c r="AB18" s="34">
        <f t="shared" si="10"/>
        <v>40.8871770227786</v>
      </c>
      <c r="AC18" s="24">
        <f t="shared" si="11"/>
        <v>68.8811834316741</v>
      </c>
      <c r="AD18" s="34">
        <f t="shared" si="12"/>
        <v>1.00847293423035</v>
      </c>
      <c r="AE18" s="36"/>
      <c r="AF18" s="1">
        <f t="shared" si="13"/>
        <v>68.8811834316741</v>
      </c>
      <c r="AG18" s="1">
        <f t="shared" si="14"/>
        <v>1.00847019555143</v>
      </c>
    </row>
    <row r="19" ht="12.75" hidden="1" spans="1:33">
      <c r="A19" s="25">
        <v>2</v>
      </c>
      <c r="B19" s="36"/>
      <c r="C19">
        <f t="shared" si="0"/>
        <v>6076.59285144647</v>
      </c>
      <c r="D19" s="1">
        <f t="shared" si="15"/>
        <v>0.00607659285144647</v>
      </c>
      <c r="E19" s="26">
        <f t="shared" si="1"/>
        <v>0.993923407148554</v>
      </c>
      <c r="F19" s="36"/>
      <c r="G19" s="34">
        <f t="shared" si="2"/>
        <v>1.12024341106259</v>
      </c>
      <c r="H19" s="36"/>
      <c r="I19" s="34">
        <f t="shared" si="3"/>
        <v>1.04415180528411</v>
      </c>
      <c r="J19" s="36"/>
      <c r="K19" s="34">
        <f t="shared" si="4"/>
        <v>1.03270886766643</v>
      </c>
      <c r="L19" s="36"/>
      <c r="M19" s="34">
        <f>(E19*$E$57^($M$4)+D19*$E$46^($M$4))^(1/$M$4)</f>
        <v>1.03251993957673</v>
      </c>
      <c r="N19" s="36"/>
      <c r="O19" s="34">
        <f t="shared" si="5"/>
        <v>1.01644958763776</v>
      </c>
      <c r="P19" s="36"/>
      <c r="R19" s="36"/>
      <c r="T19" s="36"/>
      <c r="U19" s="34">
        <f>$Y$4</f>
        <v>0</v>
      </c>
      <c r="V19" s="34">
        <f>$E$46*(1-D19*(1+$Y$4))+$E$57*(2+D19*(1+$Y$4))</f>
        <v>22.5813699885774</v>
      </c>
      <c r="W19" s="34">
        <f t="shared" si="6"/>
        <v>-0.359309966537755</v>
      </c>
      <c r="X19" s="34">
        <f t="shared" si="7"/>
        <v>0.0159117877577626</v>
      </c>
      <c r="Y19" s="34">
        <f t="shared" si="8"/>
        <v>1.01644958763776</v>
      </c>
      <c r="Z19" s="36"/>
      <c r="AA19" s="72">
        <f t="shared" si="9"/>
        <v>-7.88561738324967e-6</v>
      </c>
      <c r="AB19" s="34">
        <f t="shared" si="10"/>
        <v>40.8873929777135</v>
      </c>
      <c r="AC19" s="24">
        <f t="shared" si="11"/>
        <v>133.377317616672</v>
      </c>
      <c r="AD19" s="34">
        <f t="shared" si="12"/>
        <v>1.0164500620029</v>
      </c>
      <c r="AE19" s="36"/>
      <c r="AF19" s="1">
        <f t="shared" si="13"/>
        <v>133.377317616672</v>
      </c>
      <c r="AG19" s="1">
        <f t="shared" si="14"/>
        <v>1.01644464347673</v>
      </c>
    </row>
    <row r="20" ht="12.75" hidden="1" spans="1:33">
      <c r="A20" s="25">
        <v>3</v>
      </c>
      <c r="B20" s="36"/>
      <c r="C20">
        <f t="shared" si="0"/>
        <v>9114.8892771697</v>
      </c>
      <c r="D20" s="1">
        <f t="shared" si="15"/>
        <v>0.0091148892771697</v>
      </c>
      <c r="E20" s="26">
        <f t="shared" si="1"/>
        <v>0.99088511072283</v>
      </c>
      <c r="F20" s="36"/>
      <c r="G20" s="34">
        <f t="shared" si="2"/>
        <v>1.18009621665388</v>
      </c>
      <c r="H20" s="36"/>
      <c r="I20" s="34">
        <f t="shared" si="3"/>
        <v>1.06630771141103</v>
      </c>
      <c r="J20" s="36"/>
      <c r="K20" s="34">
        <f t="shared" si="4"/>
        <v>1.04904982664137</v>
      </c>
      <c r="L20" s="36"/>
      <c r="M20" s="34">
        <f>(E20*$E$57^($M$4)+D20*$E$46^($M$4))^(1/$M$4)</f>
        <v>1.04876474146272</v>
      </c>
      <c r="N20" s="36"/>
      <c r="O20" s="34">
        <f t="shared" si="5"/>
        <v>1.02446891186626</v>
      </c>
      <c r="P20" s="36"/>
      <c r="R20" s="36"/>
      <c r="T20" s="36"/>
      <c r="U20" s="34">
        <f>$Y$4</f>
        <v>0</v>
      </c>
      <c r="V20" s="34">
        <f>$E$46*(1-D20*(1+$Y$4))+$E$57*(2+D20*(1+$Y$4))</f>
        <v>22.5215171829861</v>
      </c>
      <c r="W20" s="34">
        <f t="shared" si="6"/>
        <v>-0.538964949806632</v>
      </c>
      <c r="X20" s="34">
        <f t="shared" si="7"/>
        <v>0.023931111986265</v>
      </c>
      <c r="Y20" s="34">
        <f t="shared" si="8"/>
        <v>1.02446891186626</v>
      </c>
      <c r="Z20" s="36"/>
      <c r="AA20" s="72">
        <f t="shared" si="9"/>
        <v>-8.01479479717144e-6</v>
      </c>
      <c r="AB20" s="34">
        <f t="shared" si="10"/>
        <v>40.8876073634708</v>
      </c>
      <c r="AC20" s="24">
        <f t="shared" si="11"/>
        <v>197.87345180167</v>
      </c>
      <c r="AD20" s="34">
        <f t="shared" si="12"/>
        <v>1.02446968980205</v>
      </c>
      <c r="AE20" s="36"/>
      <c r="AF20" s="1">
        <f t="shared" si="13"/>
        <v>197.87345180167</v>
      </c>
      <c r="AG20" s="1">
        <f t="shared" si="14"/>
        <v>1.024461478944</v>
      </c>
    </row>
    <row r="21" ht="12.75" hidden="1" spans="1:33">
      <c r="A21" s="25">
        <v>4</v>
      </c>
      <c r="B21" s="36"/>
      <c r="C21">
        <f t="shared" si="0"/>
        <v>12153.1857028929</v>
      </c>
      <c r="D21" s="1">
        <f t="shared" si="15"/>
        <v>0.0121531857028929</v>
      </c>
      <c r="E21" s="26">
        <f t="shared" si="1"/>
        <v>0.987846814297107</v>
      </c>
      <c r="F21" s="36"/>
      <c r="G21" s="34">
        <f t="shared" si="2"/>
        <v>1.23994902224518</v>
      </c>
      <c r="H21" s="36"/>
      <c r="I21" s="34">
        <f t="shared" si="3"/>
        <v>1.08869621982117</v>
      </c>
      <c r="J21" s="36"/>
      <c r="K21" s="34">
        <f t="shared" si="4"/>
        <v>1.06556226236811</v>
      </c>
      <c r="L21" s="36"/>
      <c r="M21" s="34">
        <f>(E21*$E$57^($M$4)+D21*$E$46^($M$4))^(1/$M$4)</f>
        <v>1.06517990038907</v>
      </c>
      <c r="N21" s="36"/>
      <c r="O21" s="34">
        <f t="shared" si="5"/>
        <v>1.03253097371616</v>
      </c>
      <c r="P21" s="36"/>
      <c r="R21" s="36"/>
      <c r="T21" s="36"/>
      <c r="U21" s="34">
        <f>$Y$4</f>
        <v>0</v>
      </c>
      <c r="V21" s="34">
        <f>$E$46*(1-D21*(1+$Y$4))+$E$57*(2+D21*(1+$Y$4))</f>
        <v>22.4616643773948</v>
      </c>
      <c r="W21" s="34">
        <f t="shared" si="6"/>
        <v>-0.718619933075509</v>
      </c>
      <c r="X21" s="34">
        <f t="shared" si="7"/>
        <v>0.0319931738361615</v>
      </c>
      <c r="Y21" s="34">
        <f t="shared" si="8"/>
        <v>1.03253097371616</v>
      </c>
      <c r="Z21" s="36"/>
      <c r="AA21" s="72">
        <f t="shared" si="9"/>
        <v>-8.1430322289303e-6</v>
      </c>
      <c r="AB21" s="34">
        <f t="shared" si="10"/>
        <v>40.887820180001</v>
      </c>
      <c r="AC21" s="24">
        <f t="shared" si="11"/>
        <v>262.369585986668</v>
      </c>
      <c r="AD21" s="34">
        <f t="shared" si="12"/>
        <v>1.03253215724623</v>
      </c>
      <c r="AE21" s="36"/>
      <c r="AF21" s="1">
        <f t="shared" si="13"/>
        <v>262.369585986668</v>
      </c>
      <c r="AG21" s="1">
        <f t="shared" si="14"/>
        <v>1.03252104081523</v>
      </c>
    </row>
    <row r="22" ht="12.75" hidden="1" spans="1:33">
      <c r="A22" s="25">
        <v>5</v>
      </c>
      <c r="B22" s="36"/>
      <c r="C22">
        <f t="shared" si="0"/>
        <v>15191.4821286162</v>
      </c>
      <c r="D22" s="1">
        <f t="shared" si="15"/>
        <v>0.0151914821286162</v>
      </c>
      <c r="E22" s="26">
        <f t="shared" si="1"/>
        <v>0.984808517871384</v>
      </c>
      <c r="F22" s="36"/>
      <c r="G22" s="34">
        <f t="shared" si="2"/>
        <v>1.29980182783647</v>
      </c>
      <c r="H22" s="36"/>
      <c r="I22" s="34">
        <f t="shared" si="3"/>
        <v>1.11131733051456</v>
      </c>
      <c r="J22" s="36"/>
      <c r="K22" s="34">
        <f t="shared" si="4"/>
        <v>1.08224706986963</v>
      </c>
      <c r="L22" s="36"/>
      <c r="M22" s="34">
        <f>(E22*$E$57^($M$4)+D22*$E$46^($M$4))^(1/$M$4)</f>
        <v>1.08176631829297</v>
      </c>
      <c r="N22" s="36"/>
      <c r="O22" s="34">
        <f t="shared" si="5"/>
        <v>1.04063611574455</v>
      </c>
      <c r="P22" s="36"/>
      <c r="R22" s="36"/>
      <c r="T22" s="36"/>
      <c r="U22" s="34">
        <f>$Y$4</f>
        <v>0</v>
      </c>
      <c r="V22" s="34">
        <f>$E$46*(1-D22*(1+$Y$4))+$E$57*(2+D22*(1+$Y$4))</f>
        <v>22.4018115718035</v>
      </c>
      <c r="W22" s="34">
        <f t="shared" si="6"/>
        <v>-0.898274916344387</v>
      </c>
      <c r="X22" s="34">
        <f t="shared" si="7"/>
        <v>0.0400983158645535</v>
      </c>
      <c r="Y22" s="34">
        <f t="shared" si="8"/>
        <v>1.04063611574455</v>
      </c>
      <c r="Z22" s="36"/>
      <c r="AA22" s="72">
        <f t="shared" si="9"/>
        <v>-8.27032967852623e-6</v>
      </c>
      <c r="AB22" s="34">
        <f t="shared" si="10"/>
        <v>40.8880314272551</v>
      </c>
      <c r="AC22" s="24">
        <f t="shared" si="11"/>
        <v>326.865720171667</v>
      </c>
      <c r="AD22" s="34">
        <f t="shared" si="12"/>
        <v>1.04063780758207</v>
      </c>
      <c r="AE22" s="36"/>
      <c r="AF22" s="1">
        <f t="shared" si="13"/>
        <v>326.865720171667</v>
      </c>
      <c r="AG22" s="1">
        <f t="shared" si="14"/>
        <v>1.04062367157405</v>
      </c>
    </row>
    <row r="23" ht="12.75" hidden="1" spans="1:33">
      <c r="A23" s="25">
        <v>6</v>
      </c>
      <c r="B23" s="36"/>
      <c r="C23">
        <f t="shared" si="0"/>
        <v>18229.7785543394</v>
      </c>
      <c r="D23" s="1">
        <f t="shared" si="15"/>
        <v>0.0182297785543394</v>
      </c>
      <c r="E23" s="26">
        <f t="shared" si="1"/>
        <v>0.981770221445661</v>
      </c>
      <c r="F23" s="36"/>
      <c r="G23" s="34">
        <f t="shared" si="2"/>
        <v>1.35965463342777</v>
      </c>
      <c r="H23" s="36"/>
      <c r="I23" s="34">
        <f t="shared" si="3"/>
        <v>1.13417104349117</v>
      </c>
      <c r="J23" s="36"/>
      <c r="K23" s="34">
        <f t="shared" si="4"/>
        <v>1.09910514416893</v>
      </c>
      <c r="L23" s="36"/>
      <c r="M23" s="34">
        <f>(E23*$E$57^($M$4)+D23*$E$46^($M$4))^(1/$M$4)</f>
        <v>1.09852489725131</v>
      </c>
      <c r="N23" s="36"/>
      <c r="O23" s="34">
        <f t="shared" si="5"/>
        <v>1.0487846841793</v>
      </c>
      <c r="P23" s="36"/>
      <c r="R23" s="36"/>
      <c r="T23" s="36"/>
      <c r="U23" s="34">
        <f>$Y$4</f>
        <v>0</v>
      </c>
      <c r="V23" s="34">
        <f>$E$46*(1-D23*(1+$Y$4))+$E$57*(2+D23*(1+$Y$4))</f>
        <v>22.3419587662122</v>
      </c>
      <c r="W23" s="34">
        <f t="shared" si="6"/>
        <v>-1.07792989961326</v>
      </c>
      <c r="X23" s="34">
        <f t="shared" si="7"/>
        <v>0.0482468842993041</v>
      </c>
      <c r="Y23" s="34">
        <f t="shared" si="8"/>
        <v>1.0487846841793</v>
      </c>
      <c r="Z23" s="36"/>
      <c r="AA23" s="72">
        <f t="shared" si="9"/>
        <v>-8.39668714595925e-6</v>
      </c>
      <c r="AB23" s="34">
        <f t="shared" si="10"/>
        <v>40.8882411051845</v>
      </c>
      <c r="AC23" s="24">
        <f t="shared" si="11"/>
        <v>391.361854356665</v>
      </c>
      <c r="AD23" s="34">
        <f t="shared" si="12"/>
        <v>1.04878698773293</v>
      </c>
      <c r="AE23" s="36"/>
      <c r="AF23" s="1">
        <f t="shared" si="13"/>
        <v>391.361854356665</v>
      </c>
      <c r="AG23" s="1">
        <f t="shared" si="14"/>
        <v>1.04876971737426</v>
      </c>
    </row>
    <row r="24" ht="12.75" hidden="1" spans="1:33">
      <c r="A24" s="25">
        <v>7</v>
      </c>
      <c r="B24" s="36"/>
      <c r="C24">
        <f t="shared" si="0"/>
        <v>21268.0749800626</v>
      </c>
      <c r="D24" s="1">
        <f t="shared" si="15"/>
        <v>0.0212680749800626</v>
      </c>
      <c r="E24" s="26">
        <f t="shared" si="1"/>
        <v>0.978731925019937</v>
      </c>
      <c r="F24" s="36"/>
      <c r="G24" s="34">
        <f t="shared" si="2"/>
        <v>1.41950743901906</v>
      </c>
      <c r="H24" s="36"/>
      <c r="I24" s="34">
        <f t="shared" si="3"/>
        <v>1.15725735875103</v>
      </c>
      <c r="J24" s="36"/>
      <c r="K24" s="34">
        <f t="shared" si="4"/>
        <v>1.11613738028898</v>
      </c>
      <c r="L24" s="36"/>
      <c r="M24" s="34">
        <f>(E24*$E$57^($M$4)+D24*$E$46^($M$4))^(1/$M$4)</f>
        <v>1.11545653948004</v>
      </c>
      <c r="N24" s="36"/>
      <c r="O24" s="34">
        <f t="shared" si="5"/>
        <v>1.05697702896834</v>
      </c>
      <c r="P24" s="36"/>
      <c r="R24" s="36"/>
      <c r="T24" s="36"/>
      <c r="U24" s="34">
        <f>$Y$4</f>
        <v>0</v>
      </c>
      <c r="V24" s="34">
        <f>$E$46*(1-D24*(1+$Y$4))+$E$57*(2+D24*(1+$Y$4))</f>
        <v>22.2821059606209</v>
      </c>
      <c r="W24" s="34">
        <f t="shared" si="6"/>
        <v>-1.25758488288214</v>
      </c>
      <c r="X24" s="34">
        <f t="shared" si="7"/>
        <v>0.0564392290883396</v>
      </c>
      <c r="Y24" s="34">
        <f t="shared" si="8"/>
        <v>1.05697702896834</v>
      </c>
      <c r="Z24" s="36"/>
      <c r="AA24" s="72">
        <f t="shared" si="9"/>
        <v>-8.52210463122935e-6</v>
      </c>
      <c r="AB24" s="34">
        <f t="shared" si="10"/>
        <v>40.8884492137408</v>
      </c>
      <c r="AC24" s="24">
        <f t="shared" si="11"/>
        <v>455.857988541663</v>
      </c>
      <c r="AD24" s="34">
        <f t="shared" si="12"/>
        <v>1.0569800483483</v>
      </c>
      <c r="AE24" s="36"/>
      <c r="AF24" s="1">
        <f t="shared" si="13"/>
        <v>455.857988541663</v>
      </c>
      <c r="AG24" s="1">
        <f t="shared" si="14"/>
        <v>1.05695952808908</v>
      </c>
    </row>
    <row r="25" ht="12.75" hidden="1" spans="1:33">
      <c r="A25" s="25">
        <v>8</v>
      </c>
      <c r="B25" s="36"/>
      <c r="C25">
        <f t="shared" si="0"/>
        <v>24306.3714057859</v>
      </c>
      <c r="D25" s="1">
        <f t="shared" si="15"/>
        <v>0.0243063714057859</v>
      </c>
      <c r="E25" s="26">
        <f t="shared" si="1"/>
        <v>0.975693628594214</v>
      </c>
      <c r="F25" s="36"/>
      <c r="G25" s="34">
        <f t="shared" si="2"/>
        <v>1.47936024461035</v>
      </c>
      <c r="H25" s="36"/>
      <c r="I25" s="34">
        <f t="shared" si="3"/>
        <v>1.18057627629412</v>
      </c>
      <c r="J25" s="36"/>
      <c r="K25" s="34">
        <f t="shared" si="4"/>
        <v>1.13334467325277</v>
      </c>
      <c r="L25" s="36"/>
      <c r="M25" s="34">
        <f>(E25*$E$57^($M$4)+D25*$E$46^($M$4))^(1/$M$4)</f>
        <v>1.13256214733347</v>
      </c>
      <c r="N25" s="36"/>
      <c r="O25" s="34">
        <f t="shared" si="5"/>
        <v>1.06521350382974</v>
      </c>
      <c r="P25" s="36"/>
      <c r="R25" s="36"/>
      <c r="T25" s="36"/>
      <c r="U25" s="34">
        <f>$Y$4</f>
        <v>0</v>
      </c>
      <c r="V25" s="34">
        <f>$E$46*(1-D25*(1+$Y$4))+$E$57*(2+D25*(1+$Y$4))</f>
        <v>22.2222531550296</v>
      </c>
      <c r="W25" s="34">
        <f t="shared" si="6"/>
        <v>-1.43723986615102</v>
      </c>
      <c r="X25" s="34">
        <f t="shared" si="7"/>
        <v>0.0646757039497466</v>
      </c>
      <c r="Y25" s="34">
        <f t="shared" si="8"/>
        <v>1.06521350382974</v>
      </c>
      <c r="Z25" s="36"/>
      <c r="AA25" s="72">
        <f t="shared" si="9"/>
        <v>-8.64658213433653e-6</v>
      </c>
      <c r="AB25" s="34">
        <f t="shared" si="10"/>
        <v>40.888655752876</v>
      </c>
      <c r="AC25" s="24">
        <f t="shared" si="11"/>
        <v>520.354122726661</v>
      </c>
      <c r="AD25" s="34">
        <f t="shared" si="12"/>
        <v>1.0652173438539</v>
      </c>
      <c r="AE25" s="36"/>
      <c r="AF25" s="1">
        <f t="shared" si="13"/>
        <v>520.354122726661</v>
      </c>
      <c r="AG25" s="1">
        <f t="shared" si="14"/>
        <v>1.06519345736129</v>
      </c>
    </row>
    <row r="26" ht="12.75" hidden="1" spans="1:33">
      <c r="A26" s="25">
        <v>9</v>
      </c>
      <c r="B26" s="36"/>
      <c r="C26">
        <f t="shared" si="0"/>
        <v>27344.6678315091</v>
      </c>
      <c r="D26" s="1">
        <f t="shared" si="15"/>
        <v>0.0273446678315091</v>
      </c>
      <c r="E26" s="26">
        <f t="shared" si="1"/>
        <v>0.972655332168491</v>
      </c>
      <c r="F26" s="36"/>
      <c r="G26" s="34">
        <f t="shared" si="2"/>
        <v>1.53921305020165</v>
      </c>
      <c r="H26" s="36"/>
      <c r="I26" s="34">
        <f t="shared" si="3"/>
        <v>1.20412779612045</v>
      </c>
      <c r="J26" s="36"/>
      <c r="K26" s="34">
        <f t="shared" si="4"/>
        <v>1.1507279180833</v>
      </c>
      <c r="L26" s="36"/>
      <c r="M26" s="34">
        <f>(E26*$E$57^($M$4)+D26*$E$46^($M$4))^(1/$M$4)</f>
        <v>1.14984262330359</v>
      </c>
      <c r="N26" s="36"/>
      <c r="O26" s="34">
        <f t="shared" si="5"/>
        <v>1.07349446630268</v>
      </c>
      <c r="P26" s="36"/>
      <c r="R26" s="36"/>
      <c r="T26" s="36"/>
      <c r="U26" s="34">
        <f>$Y$4</f>
        <v>0</v>
      </c>
      <c r="V26" s="34">
        <f>$E$46*(1-D26*(1+$Y$4))+$E$57*(2+D26*(1+$Y$4))</f>
        <v>22.1624003494383</v>
      </c>
      <c r="W26" s="34">
        <f t="shared" si="6"/>
        <v>-1.6168948494199</v>
      </c>
      <c r="X26" s="34">
        <f t="shared" si="7"/>
        <v>0.0729566664226816</v>
      </c>
      <c r="Y26" s="34">
        <f t="shared" si="8"/>
        <v>1.07349446630268</v>
      </c>
      <c r="Z26" s="36"/>
      <c r="AA26" s="72">
        <f t="shared" si="9"/>
        <v>-8.77011965528078e-6</v>
      </c>
      <c r="AB26" s="34">
        <f t="shared" si="10"/>
        <v>40.8888607225425</v>
      </c>
      <c r="AC26" s="24">
        <f t="shared" si="11"/>
        <v>584.850256911659</v>
      </c>
      <c r="AD26" s="34">
        <f t="shared" si="12"/>
        <v>1.07349923250272</v>
      </c>
      <c r="AE26" s="36"/>
      <c r="AF26" s="1">
        <f t="shared" si="13"/>
        <v>584.850256911659</v>
      </c>
      <c r="AG26" s="1">
        <f t="shared" si="14"/>
        <v>1.07347186265408</v>
      </c>
    </row>
    <row r="27" ht="12.75" spans="1:33">
      <c r="A27" s="25">
        <v>10</v>
      </c>
      <c r="B27" s="36"/>
      <c r="C27">
        <f t="shared" si="0"/>
        <v>30382.9642572323</v>
      </c>
      <c r="D27" s="1">
        <f t="shared" si="15"/>
        <v>0.0303829642572323</v>
      </c>
      <c r="E27" s="26">
        <f t="shared" si="1"/>
        <v>0.969617035742768</v>
      </c>
      <c r="F27" s="36"/>
      <c r="G27" s="34">
        <f t="shared" si="2"/>
        <v>1.59906585579294</v>
      </c>
      <c r="H27" s="36"/>
      <c r="I27" s="34">
        <f t="shared" si="3"/>
        <v>1.22791191823001</v>
      </c>
      <c r="J27" s="36"/>
      <c r="K27" s="34">
        <f t="shared" si="4"/>
        <v>1.16828800980354</v>
      </c>
      <c r="L27" s="36"/>
      <c r="M27" s="34">
        <f>(E27*$E$57^($M$4)+D27*$E$46^($M$4))^(1/$M$4)</f>
        <v>1.16729887001939</v>
      </c>
      <c r="N27" s="36"/>
      <c r="O27" s="34">
        <f t="shared" si="5"/>
        <v>1.08182027779911</v>
      </c>
      <c r="P27" s="36"/>
      <c r="R27" s="36"/>
      <c r="T27" s="36"/>
      <c r="U27" s="34">
        <f>$Y$4</f>
        <v>0</v>
      </c>
      <c r="V27" s="34">
        <f>$E$46*(1-D27*(1+$Y$4))+$E$57*(2+D27*(1+$Y$4))</f>
        <v>22.102547543847</v>
      </c>
      <c r="W27" s="34">
        <f t="shared" si="6"/>
        <v>-1.79654983268877</v>
      </c>
      <c r="X27" s="34">
        <f t="shared" si="7"/>
        <v>0.0812824779191076</v>
      </c>
      <c r="Y27" s="34">
        <f t="shared" si="8"/>
        <v>1.08182027779911</v>
      </c>
      <c r="Z27" s="36"/>
      <c r="AA27" s="72">
        <f t="shared" si="9"/>
        <v>-8.89271719406212e-6</v>
      </c>
      <c r="AB27" s="34">
        <f t="shared" si="10"/>
        <v>40.8908240882192</v>
      </c>
      <c r="AC27" s="24">
        <f t="shared" si="11"/>
        <v>649.346391096657</v>
      </c>
      <c r="AD27" s="34">
        <f t="shared" si="12"/>
        <v>1.08182969448957</v>
      </c>
      <c r="AE27" s="36"/>
      <c r="AF27" s="1">
        <f t="shared" si="13"/>
        <v>649.346391096657</v>
      </c>
      <c r="AG27" s="1">
        <f t="shared" si="14"/>
        <v>1.08179510530286</v>
      </c>
    </row>
    <row r="28" ht="12.75" hidden="1" spans="1:33">
      <c r="A28" s="25">
        <v>20</v>
      </c>
      <c r="B28" s="36"/>
      <c r="C28">
        <f t="shared" si="0"/>
        <v>60765.9285144647</v>
      </c>
      <c r="D28" s="1">
        <f t="shared" si="15"/>
        <v>0.0607659285144647</v>
      </c>
      <c r="E28" s="26">
        <f t="shared" si="1"/>
        <v>0.939234071485535</v>
      </c>
      <c r="F28" s="36"/>
      <c r="G28" s="34">
        <f t="shared" si="2"/>
        <v>2.19759391170589</v>
      </c>
      <c r="H28" s="36"/>
      <c r="I28" s="34">
        <f t="shared" si="3"/>
        <v>1.4785462649036</v>
      </c>
      <c r="J28" s="36"/>
      <c r="K28" s="34">
        <f t="shared" si="4"/>
        <v>1.35381241099721</v>
      </c>
      <c r="L28" s="36"/>
      <c r="M28" s="34">
        <f>(E28*$E$57^($M$4)+D28*$E$46^($M$4))^(1/$M$4)</f>
        <v>1.35172740322954</v>
      </c>
      <c r="N28" s="36"/>
      <c r="O28" s="34">
        <f t="shared" si="5"/>
        <v>1.16762747664455</v>
      </c>
      <c r="P28" s="36"/>
      <c r="R28" s="36"/>
      <c r="T28" s="36"/>
      <c r="U28" s="34">
        <f>$Y$4</f>
        <v>0</v>
      </c>
      <c r="V28" s="34">
        <f>$E$46*(1-D28*(1+$Y$4))+$E$57*(2+D28*(1+$Y$4))</f>
        <v>21.5040194879341</v>
      </c>
      <c r="W28" s="34">
        <f t="shared" si="6"/>
        <v>-3.59309966537755</v>
      </c>
      <c r="X28" s="34">
        <f t="shared" si="7"/>
        <v>0.167089676764552</v>
      </c>
      <c r="Y28" s="34">
        <f t="shared" si="8"/>
        <v>1.16762747664455</v>
      </c>
      <c r="Z28" s="36"/>
      <c r="AA28" s="72">
        <f t="shared" si="9"/>
        <v>-1.00669935629149e-5</v>
      </c>
      <c r="AB28" s="34">
        <f t="shared" si="10"/>
        <v>40.8926304573546</v>
      </c>
      <c r="AC28" s="24">
        <f t="shared" si="11"/>
        <v>1294.30773294664</v>
      </c>
      <c r="AD28" s="34">
        <f t="shared" si="12"/>
        <v>1.16765661366759</v>
      </c>
      <c r="AE28" s="36"/>
      <c r="AF28" s="1">
        <f t="shared" si="13"/>
        <v>1294.30773294664</v>
      </c>
      <c r="AG28" s="1">
        <f t="shared" si="14"/>
        <v>1.16757595664542</v>
      </c>
    </row>
    <row r="29" ht="12.75" hidden="1" spans="1:33">
      <c r="A29" s="25">
        <v>30</v>
      </c>
      <c r="B29" s="36"/>
      <c r="C29">
        <f t="shared" si="0"/>
        <v>91148.892771697</v>
      </c>
      <c r="D29" s="1">
        <f t="shared" si="15"/>
        <v>0.091148892771697</v>
      </c>
      <c r="E29" s="26">
        <f t="shared" si="1"/>
        <v>0.908851107228303</v>
      </c>
      <c r="F29" s="36"/>
      <c r="G29" s="34">
        <f t="shared" si="2"/>
        <v>2.79612196761883</v>
      </c>
      <c r="H29" s="36"/>
      <c r="I29" s="34">
        <f t="shared" si="3"/>
        <v>1.75244083990077</v>
      </c>
      <c r="J29" s="36"/>
      <c r="K29" s="34">
        <f t="shared" si="4"/>
        <v>1.55800602644713</v>
      </c>
      <c r="L29" s="36"/>
      <c r="M29" s="34">
        <f>(E29*$E$57^($M$4)+D29*$E$46^($M$4))^(1/$M$4)</f>
        <v>1.55472689554678</v>
      </c>
      <c r="N29" s="36"/>
      <c r="O29" s="34">
        <f t="shared" si="5"/>
        <v>1.25834802718759</v>
      </c>
      <c r="P29" s="36"/>
      <c r="R29" s="36"/>
      <c r="T29" s="36"/>
      <c r="U29" s="34">
        <f>$Y$4</f>
        <v>0</v>
      </c>
      <c r="V29" s="34">
        <f>$E$46*(1-D29*(1+$Y$4))+$E$57*(2+D29*(1+$Y$4))</f>
        <v>20.9054914320212</v>
      </c>
      <c r="W29" s="34">
        <f t="shared" si="6"/>
        <v>-5.38964949806632</v>
      </c>
      <c r="X29" s="34">
        <f t="shared" si="7"/>
        <v>0.257810227307593</v>
      </c>
      <c r="Y29" s="34">
        <f t="shared" si="8"/>
        <v>1.25834802718759</v>
      </c>
      <c r="Z29" s="36"/>
      <c r="AA29" s="72">
        <f t="shared" si="9"/>
        <v>-1.11472717154756e-5</v>
      </c>
      <c r="AB29" s="34">
        <f t="shared" si="10"/>
        <v>40.8942797883107</v>
      </c>
      <c r="AC29" s="24">
        <f t="shared" si="11"/>
        <v>1939.26907479662</v>
      </c>
      <c r="AD29" s="34">
        <f t="shared" si="12"/>
        <v>1.25840809336754</v>
      </c>
      <c r="AE29" s="36"/>
      <c r="AF29" s="1">
        <f t="shared" si="13"/>
        <v>1939.26907479662</v>
      </c>
      <c r="AG29" s="1">
        <f t="shared" si="14"/>
        <v>1.2582689037481</v>
      </c>
    </row>
    <row r="30" ht="12.75" hidden="1" spans="1:33">
      <c r="A30" s="25">
        <v>40</v>
      </c>
      <c r="B30" s="36"/>
      <c r="C30">
        <f t="shared" si="0"/>
        <v>121531.857028929</v>
      </c>
      <c r="D30" s="1">
        <f t="shared" si="15"/>
        <v>0.121531857028929</v>
      </c>
      <c r="E30" s="26">
        <f t="shared" si="1"/>
        <v>0.878468142971071</v>
      </c>
      <c r="F30" s="36"/>
      <c r="G30" s="34">
        <f t="shared" si="2"/>
        <v>3.39465002353178</v>
      </c>
      <c r="H30" s="36"/>
      <c r="I30" s="34">
        <f t="shared" si="3"/>
        <v>2.04959564322153</v>
      </c>
      <c r="J30" s="36"/>
      <c r="K30" s="34">
        <f t="shared" si="4"/>
        <v>1.78176387913938</v>
      </c>
      <c r="L30" s="36"/>
      <c r="M30" s="34">
        <f>(E30*$E$57^($M$4)+D30*$E$46^($M$4))^(1/$M$4)</f>
        <v>1.77720213865788</v>
      </c>
      <c r="N30" s="36"/>
      <c r="O30" s="34">
        <f t="shared" si="5"/>
        <v>1.35441637826016</v>
      </c>
      <c r="P30" s="36"/>
      <c r="R30" s="36"/>
      <c r="T30" s="36"/>
      <c r="U30" s="34">
        <f>$Y$4</f>
        <v>0</v>
      </c>
      <c r="V30" s="34">
        <f>$E$46*(1-D30*(1+$Y$4))+$E$57*(2+D30*(1+$Y$4))</f>
        <v>20.3069633761082</v>
      </c>
      <c r="W30" s="34">
        <f t="shared" si="6"/>
        <v>-7.18619933075509</v>
      </c>
      <c r="X30" s="34">
        <f t="shared" si="7"/>
        <v>0.353878578380157</v>
      </c>
      <c r="Y30" s="34">
        <f t="shared" si="8"/>
        <v>1.35441637826016</v>
      </c>
      <c r="Z30" s="36"/>
      <c r="AA30" s="72">
        <f t="shared" si="9"/>
        <v>-1.21335516517444e-5</v>
      </c>
      <c r="AB30" s="34">
        <f t="shared" si="10"/>
        <v>40.8957720430646</v>
      </c>
      <c r="AC30" s="24">
        <f t="shared" si="11"/>
        <v>2584.2304166466</v>
      </c>
      <c r="AD30" s="34">
        <f t="shared" si="12"/>
        <v>1.35451935202981</v>
      </c>
      <c r="AE30" s="36"/>
      <c r="AF30" s="1">
        <f t="shared" si="13"/>
        <v>2584.2304166466</v>
      </c>
      <c r="AG30" s="1">
        <f t="shared" si="14"/>
        <v>1.354308307397</v>
      </c>
    </row>
    <row r="31" ht="12.75" hidden="1" spans="1:33">
      <c r="A31" s="25">
        <v>50</v>
      </c>
      <c r="B31" s="36"/>
      <c r="C31">
        <f t="shared" si="0"/>
        <v>151914.821286162</v>
      </c>
      <c r="D31" s="1">
        <f t="shared" si="15"/>
        <v>0.151914821286162</v>
      </c>
      <c r="E31" s="26">
        <f t="shared" si="1"/>
        <v>0.848085178713838</v>
      </c>
      <c r="F31" s="36"/>
      <c r="G31" s="34">
        <f t="shared" si="2"/>
        <v>3.99317807944473</v>
      </c>
      <c r="H31" s="36"/>
      <c r="I31" s="34">
        <f t="shared" si="3"/>
        <v>2.37001067486587</v>
      </c>
      <c r="J31" s="36"/>
      <c r="K31" s="34">
        <f t="shared" si="4"/>
        <v>2.02598099206007</v>
      </c>
      <c r="L31" s="36"/>
      <c r="M31" s="34">
        <f>(E31*$E$57^($M$4)+D31*$E$46^($M$4))^(1/$M$4)</f>
        <v>2.02005916309102</v>
      </c>
      <c r="N31" s="36"/>
      <c r="O31" s="34">
        <f t="shared" si="5"/>
        <v>1.45631975402829</v>
      </c>
      <c r="P31" s="36"/>
      <c r="R31" s="36"/>
      <c r="T31" s="36"/>
      <c r="U31" s="34">
        <f>$Y$4</f>
        <v>0</v>
      </c>
      <c r="V31" s="34">
        <f>$E$46*(1-D31*(1+$Y$4))+$E$57*(2+D31*(1+$Y$4))</f>
        <v>19.7084353201953</v>
      </c>
      <c r="W31" s="34">
        <f t="shared" si="6"/>
        <v>-8.98274916344386</v>
      </c>
      <c r="X31" s="34">
        <f t="shared" si="7"/>
        <v>0.455781954148294</v>
      </c>
      <c r="Y31" s="34">
        <f t="shared" si="8"/>
        <v>1.45631975402829</v>
      </c>
      <c r="Z31" s="36"/>
      <c r="AA31" s="72">
        <f t="shared" si="9"/>
        <v>-1.30258333717211e-5</v>
      </c>
      <c r="AB31" s="34">
        <f t="shared" si="10"/>
        <v>40.8971071872105</v>
      </c>
      <c r="AC31" s="24">
        <f t="shared" si="11"/>
        <v>3229.19175849658</v>
      </c>
      <c r="AD31" s="34">
        <f t="shared" si="12"/>
        <v>1.45647844885612</v>
      </c>
      <c r="AE31" s="36"/>
      <c r="AF31" s="1">
        <f t="shared" si="13"/>
        <v>3229.19175849658</v>
      </c>
      <c r="AG31" s="1">
        <f t="shared" si="14"/>
        <v>1.45618129589668</v>
      </c>
    </row>
    <row r="32" ht="12.75" hidden="1" spans="1:33">
      <c r="A32" s="25">
        <v>60</v>
      </c>
      <c r="B32" s="36"/>
      <c r="C32">
        <f t="shared" si="0"/>
        <v>182297.785543394</v>
      </c>
      <c r="D32" s="1">
        <f t="shared" si="15"/>
        <v>0.182297785543394</v>
      </c>
      <c r="E32" s="26">
        <f t="shared" si="1"/>
        <v>0.817702214456606</v>
      </c>
      <c r="F32" s="36"/>
      <c r="G32" s="34">
        <f t="shared" si="2"/>
        <v>4.59170613535767</v>
      </c>
      <c r="H32" s="36"/>
      <c r="I32" s="34">
        <f t="shared" si="3"/>
        <v>2.71368593483378</v>
      </c>
      <c r="J32" s="36"/>
      <c r="K32" s="34">
        <f t="shared" si="4"/>
        <v>2.29155238819531</v>
      </c>
      <c r="L32" s="36"/>
      <c r="M32" s="34">
        <f>(E32*$E$57^($M$4)+D32*$E$46^($M$4))^(1/$M$4)</f>
        <v>2.28420518625054</v>
      </c>
      <c r="N32" s="36"/>
      <c r="O32" s="34">
        <f t="shared" si="5"/>
        <v>1.56460641868904</v>
      </c>
      <c r="P32" s="36"/>
      <c r="R32" s="36"/>
      <c r="T32" s="36"/>
      <c r="U32" s="34">
        <f>$Y$4</f>
        <v>0</v>
      </c>
      <c r="V32" s="34">
        <f>$E$46*(1-D32*(1+$Y$4))+$E$57*(2+D32*(1+$Y$4))</f>
        <v>19.1099072642823</v>
      </c>
      <c r="W32" s="34">
        <f t="shared" si="6"/>
        <v>-10.7792989961326</v>
      </c>
      <c r="X32" s="34">
        <f t="shared" si="7"/>
        <v>0.564068618809044</v>
      </c>
      <c r="Y32" s="34">
        <f t="shared" si="8"/>
        <v>1.56460641868904</v>
      </c>
      <c r="Z32" s="36"/>
      <c r="AA32" s="72">
        <f t="shared" si="9"/>
        <v>-1.38241168754059e-5</v>
      </c>
      <c r="AB32" s="34">
        <f t="shared" si="10"/>
        <v>40.8982851899618</v>
      </c>
      <c r="AC32" s="24">
        <f t="shared" si="11"/>
        <v>3874.15310034656</v>
      </c>
      <c r="AD32" s="34">
        <f t="shared" si="12"/>
        <v>1.56483455422252</v>
      </c>
      <c r="AE32" s="36"/>
      <c r="AF32" s="1">
        <f t="shared" si="13"/>
        <v>3874.15310034656</v>
      </c>
      <c r="AG32" s="1">
        <f t="shared" si="14"/>
        <v>1.56443602900819</v>
      </c>
    </row>
    <row r="33" ht="12.75" hidden="1" spans="1:33">
      <c r="A33" s="25">
        <v>70</v>
      </c>
      <c r="B33" s="36"/>
      <c r="C33">
        <f t="shared" si="0"/>
        <v>212680.749800626</v>
      </c>
      <c r="D33" s="1">
        <f t="shared" si="15"/>
        <v>0.212680749800626</v>
      </c>
      <c r="E33" s="26">
        <f t="shared" si="1"/>
        <v>0.787319250199374</v>
      </c>
      <c r="F33" s="36"/>
      <c r="G33" s="34">
        <f t="shared" si="2"/>
        <v>5.19023419127062</v>
      </c>
      <c r="H33" s="36"/>
      <c r="I33" s="34">
        <f t="shared" si="3"/>
        <v>3.08062142312529</v>
      </c>
      <c r="J33" s="36"/>
      <c r="K33" s="34">
        <f t="shared" si="4"/>
        <v>2.57937309053119</v>
      </c>
      <c r="L33" s="36"/>
      <c r="M33" s="34">
        <f>(E33*$E$57^($M$4)+D33*$E$46^($M$4))^(1/$M$4)</f>
        <v>2.57054856469819</v>
      </c>
      <c r="N33" s="36"/>
      <c r="O33" s="34">
        <f t="shared" si="5"/>
        <v>1.67989554450097</v>
      </c>
      <c r="P33" s="36"/>
      <c r="R33" s="36"/>
      <c r="T33" s="36"/>
      <c r="U33" s="34">
        <f>$Y$4</f>
        <v>0</v>
      </c>
      <c r="V33" s="34">
        <f>$E$46*(1-D33*(1+$Y$4))+$E$57*(2+D33*(1+$Y$4))</f>
        <v>18.5113792083694</v>
      </c>
      <c r="W33" s="34">
        <f t="shared" si="6"/>
        <v>-12.5758488288214</v>
      </c>
      <c r="X33" s="34">
        <f t="shared" si="7"/>
        <v>0.679357744620974</v>
      </c>
      <c r="Y33" s="34">
        <f t="shared" si="8"/>
        <v>1.67989554450097</v>
      </c>
      <c r="Z33" s="36"/>
      <c r="AA33" s="72">
        <f t="shared" si="9"/>
        <v>-1.45284021627986e-5</v>
      </c>
      <c r="AB33" s="34">
        <f t="shared" si="10"/>
        <v>40.8993060241529</v>
      </c>
      <c r="AC33" s="24">
        <f t="shared" si="11"/>
        <v>4519.11444219654</v>
      </c>
      <c r="AD33" s="34">
        <f t="shared" si="12"/>
        <v>1.68020782362833</v>
      </c>
      <c r="AE33" s="36"/>
      <c r="AF33" s="1">
        <f t="shared" si="13"/>
        <v>4519.11444219654</v>
      </c>
      <c r="AG33" s="1">
        <f t="shared" si="14"/>
        <v>1.67969156516677</v>
      </c>
    </row>
    <row r="34" ht="12.75" hidden="1" spans="1:33">
      <c r="A34" s="25">
        <v>80</v>
      </c>
      <c r="B34" s="36"/>
      <c r="C34">
        <f t="shared" si="0"/>
        <v>243063.714057859</v>
      </c>
      <c r="D34" s="1">
        <f t="shared" si="15"/>
        <v>0.243063714057859</v>
      </c>
      <c r="E34" s="26">
        <f t="shared" si="1"/>
        <v>0.756936285942141</v>
      </c>
      <c r="F34" s="36"/>
      <c r="G34" s="34">
        <f t="shared" si="2"/>
        <v>5.78876224718356</v>
      </c>
      <c r="H34" s="36"/>
      <c r="I34" s="34">
        <f t="shared" si="3"/>
        <v>3.47081713974037</v>
      </c>
      <c r="J34" s="36"/>
      <c r="K34" s="34">
        <f t="shared" si="4"/>
        <v>2.89033812205381</v>
      </c>
      <c r="L34" s="36"/>
      <c r="M34" s="34">
        <f>(E34*$E$57^($M$4)+D34*$E$46^($M$4))^(1/$M$4)</f>
        <v>2.87999875017826</v>
      </c>
      <c r="N34" s="36"/>
      <c r="O34" s="34">
        <f t="shared" si="5"/>
        <v>1.80288905815745</v>
      </c>
      <c r="P34" s="36"/>
      <c r="R34" s="36"/>
      <c r="T34" s="36"/>
      <c r="U34" s="34">
        <f>$Y$4</f>
        <v>0</v>
      </c>
      <c r="V34" s="34">
        <f>$E$46*(1-D34*(1+$Y$4))+$E$57*(2+D34*(1+$Y$4))</f>
        <v>17.9128511524564</v>
      </c>
      <c r="W34" s="34">
        <f t="shared" si="6"/>
        <v>-14.3723986615102</v>
      </c>
      <c r="X34" s="34">
        <f t="shared" si="7"/>
        <v>0.802351258277455</v>
      </c>
      <c r="Y34" s="34">
        <f t="shared" si="8"/>
        <v>1.80288905815745</v>
      </c>
      <c r="Z34" s="36"/>
      <c r="AA34" s="72">
        <f t="shared" si="9"/>
        <v>-1.51386892338993e-5</v>
      </c>
      <c r="AB34" s="34">
        <f t="shared" si="10"/>
        <v>40.9001696662406</v>
      </c>
      <c r="AC34" s="24">
        <f t="shared" si="11"/>
        <v>5164.07578404653</v>
      </c>
      <c r="AD34" s="34">
        <f t="shared" si="12"/>
        <v>1.80330125001819</v>
      </c>
      <c r="AE34" s="36"/>
      <c r="AF34" s="1">
        <f t="shared" si="13"/>
        <v>5164.07578404653</v>
      </c>
      <c r="AG34" s="1">
        <f t="shared" si="14"/>
        <v>1.80264970699805</v>
      </c>
    </row>
    <row r="35" ht="12.75" hidden="1" spans="1:33">
      <c r="A35" s="25">
        <v>90</v>
      </c>
      <c r="B35" s="36"/>
      <c r="C35">
        <f t="shared" si="0"/>
        <v>273446.678315091</v>
      </c>
      <c r="D35" s="1">
        <f t="shared" si="15"/>
        <v>0.273446678315091</v>
      </c>
      <c r="E35" s="26">
        <f t="shared" si="1"/>
        <v>0.726553321684909</v>
      </c>
      <c r="F35" s="36"/>
      <c r="G35" s="34">
        <f t="shared" si="2"/>
        <v>6.38729030309651</v>
      </c>
      <c r="H35" s="36"/>
      <c r="I35" s="34">
        <f t="shared" si="3"/>
        <v>3.88427308467903</v>
      </c>
      <c r="J35" s="36"/>
      <c r="K35" s="34">
        <f t="shared" si="4"/>
        <v>3.22534250574928</v>
      </c>
      <c r="L35" s="36"/>
      <c r="M35" s="34">
        <f>(E35*$E$57^($M$4)+D35*$E$46^($M$4))^(1/$M$4)</f>
        <v>3.21346624896055</v>
      </c>
      <c r="N35" s="36"/>
      <c r="O35" s="34">
        <f t="shared" si="5"/>
        <v>1.93438594421934</v>
      </c>
      <c r="P35" s="36"/>
      <c r="R35" s="36"/>
      <c r="T35" s="36"/>
      <c r="U35" s="34">
        <f>$Y$4</f>
        <v>0</v>
      </c>
      <c r="V35" s="34">
        <f>$E$46*(1-D35*(1+$Y$4))+$E$57*(2+D35*(1+$Y$4))</f>
        <v>17.3143230965435</v>
      </c>
      <c r="W35" s="34">
        <f t="shared" si="6"/>
        <v>-16.168948494199</v>
      </c>
      <c r="X35" s="34">
        <f t="shared" si="7"/>
        <v>0.933848144339343</v>
      </c>
      <c r="Y35" s="34">
        <f t="shared" si="8"/>
        <v>1.93438594421934</v>
      </c>
      <c r="Z35" s="36"/>
      <c r="AA35" s="72">
        <f t="shared" si="9"/>
        <v>-1.5654978088708e-5</v>
      </c>
      <c r="AB35" s="34">
        <f t="shared" si="10"/>
        <v>40.9008760963058</v>
      </c>
      <c r="AC35" s="24">
        <f t="shared" si="11"/>
        <v>5809.03712589651</v>
      </c>
      <c r="AD35" s="34">
        <f t="shared" si="12"/>
        <v>1.93491497291236</v>
      </c>
      <c r="AE35" s="36"/>
      <c r="AF35" s="1">
        <f t="shared" si="13"/>
        <v>5809.03712589651</v>
      </c>
      <c r="AG35" s="1">
        <f t="shared" si="14"/>
        <v>1.93410930386862</v>
      </c>
    </row>
    <row r="36" ht="12.75" spans="1:33">
      <c r="A36" s="25">
        <v>100</v>
      </c>
      <c r="B36" s="36"/>
      <c r="C36">
        <f t="shared" si="0"/>
        <v>303829.642572323</v>
      </c>
      <c r="D36" s="1">
        <f t="shared" si="15"/>
        <v>0.303829642572323</v>
      </c>
      <c r="E36" s="26">
        <f t="shared" si="1"/>
        <v>0.696170357427677</v>
      </c>
      <c r="F36" s="36"/>
      <c r="G36" s="34">
        <f t="shared" si="2"/>
        <v>6.98581835900945</v>
      </c>
      <c r="H36" s="36"/>
      <c r="I36" s="34">
        <f t="shared" si="3"/>
        <v>4.32098925794128</v>
      </c>
      <c r="J36" s="36"/>
      <c r="K36" s="34">
        <f t="shared" si="4"/>
        <v>3.5852812646037</v>
      </c>
      <c r="L36" s="36"/>
      <c r="M36" s="34">
        <f>(E36*$E$57^($M$4)+D36*$E$46^($M$4))^(1/$M$4)</f>
        <v>3.57186258413738</v>
      </c>
      <c r="N36" s="36"/>
      <c r="O36" s="34">
        <f t="shared" si="5"/>
        <v>2.07529962145173</v>
      </c>
      <c r="P36" s="36"/>
      <c r="R36" s="36"/>
      <c r="T36" s="36"/>
      <c r="U36" s="34">
        <f>$Y$4</f>
        <v>0</v>
      </c>
      <c r="V36" s="34">
        <f>$E$46*(1-D36*(1+$Y$4))+$E$57*(2+D36*(1+$Y$4))</f>
        <v>16.7157950406305</v>
      </c>
      <c r="W36" s="34">
        <f t="shared" si="6"/>
        <v>-17.9654983268877</v>
      </c>
      <c r="X36" s="34">
        <f t="shared" si="7"/>
        <v>1.07476182157173</v>
      </c>
      <c r="Y36" s="34">
        <f t="shared" si="8"/>
        <v>2.07529962145173</v>
      </c>
      <c r="Z36" s="36"/>
      <c r="AA36" s="72">
        <f t="shared" si="9"/>
        <v>-1.60772687272247e-5</v>
      </c>
      <c r="AB36" s="34">
        <f t="shared" si="10"/>
        <v>40.8739984023044</v>
      </c>
      <c r="AC36" s="24">
        <f t="shared" si="11"/>
        <v>6453.99846774649</v>
      </c>
      <c r="AD36" s="34">
        <f t="shared" si="12"/>
        <v>2.07498362734879</v>
      </c>
      <c r="AE36" s="36"/>
      <c r="AF36" s="1">
        <f t="shared" si="13"/>
        <v>6453.99846774649</v>
      </c>
      <c r="AG36" s="1">
        <f t="shared" si="14"/>
        <v>2.07498362734879</v>
      </c>
    </row>
    <row r="37" ht="12.75" spans="1:31">
      <c r="A37" s="36"/>
      <c r="B37" s="36"/>
      <c r="C37" s="36"/>
      <c r="D37" s="37"/>
      <c r="E37" s="36"/>
      <c r="F37" s="36"/>
      <c r="G37" s="45"/>
      <c r="H37" s="36"/>
      <c r="I37" s="36"/>
      <c r="J37" s="36"/>
      <c r="K37" s="36"/>
      <c r="L37" s="36"/>
      <c r="M37" s="36"/>
      <c r="N37" s="36"/>
      <c r="O37" s="45"/>
      <c r="P37" s="36"/>
      <c r="Q37" s="45"/>
      <c r="R37" s="36"/>
      <c r="S37" s="45"/>
      <c r="T37" s="36"/>
      <c r="U37" s="45"/>
      <c r="V37" s="45"/>
      <c r="W37" s="45"/>
      <c r="X37" s="45"/>
      <c r="Y37" s="45"/>
      <c r="Z37" s="36"/>
      <c r="AA37" s="36"/>
      <c r="AB37" s="67"/>
      <c r="AC37" s="36"/>
      <c r="AD37" s="36"/>
      <c r="AE37" s="36"/>
    </row>
    <row r="39" ht="21.55" customHeight="1" spans="1:32">
      <c r="A39" s="51" t="s">
        <v>36</v>
      </c>
      <c r="B39" s="51"/>
      <c r="C39" s="51"/>
      <c r="D39" s="51"/>
      <c r="E39" s="51"/>
      <c r="AA39" s="73" t="s">
        <v>37</v>
      </c>
      <c r="AB39" s="74">
        <v>3.96</v>
      </c>
      <c r="AF39">
        <v>3.96</v>
      </c>
    </row>
    <row r="40" ht="21.55" customHeight="1" spans="1:32">
      <c r="A40" s="52" t="s">
        <v>38</v>
      </c>
      <c r="B40" s="52"/>
      <c r="C40" s="52"/>
      <c r="D40" s="52"/>
      <c r="E40" s="53">
        <v>101325</v>
      </c>
      <c r="M40" s="27"/>
      <c r="AA40" s="73" t="s">
        <v>39</v>
      </c>
      <c r="AB40" s="74">
        <v>20770</v>
      </c>
      <c r="AF40">
        <v>20770</v>
      </c>
    </row>
    <row r="41" ht="21.55" customHeight="1" spans="1:32">
      <c r="A41" s="52" t="s">
        <v>40</v>
      </c>
      <c r="B41" s="52"/>
      <c r="C41" s="52"/>
      <c r="D41" s="52"/>
      <c r="E41" s="1">
        <f>E40/101325</f>
        <v>1</v>
      </c>
      <c r="AA41" s="73" t="s">
        <v>41</v>
      </c>
      <c r="AB41" s="75">
        <f>AB39+AB40/E43</f>
        <v>73.6229213483146</v>
      </c>
      <c r="AC41" s="54">
        <f>3.84+2.092*10000/E43</f>
        <v>74.0060238135167</v>
      </c>
      <c r="AF41">
        <v>73.6229213483146</v>
      </c>
    </row>
    <row r="42" ht="21.55" customHeight="1" spans="1:5">
      <c r="A42" s="52" t="s">
        <v>42</v>
      </c>
      <c r="B42" s="52"/>
      <c r="C42" s="52"/>
      <c r="D42" s="52"/>
      <c r="E42" s="53">
        <v>25</v>
      </c>
    </row>
    <row r="43" ht="21.55" customHeight="1" spans="1:13">
      <c r="A43" s="52" t="s">
        <v>43</v>
      </c>
      <c r="B43" s="52"/>
      <c r="C43" s="52"/>
      <c r="D43" s="52"/>
      <c r="E43" s="54">
        <f>E42+273.15</f>
        <v>298.15</v>
      </c>
      <c r="M43" s="54">
        <f>1000/E43</f>
        <v>3.35401643468053</v>
      </c>
    </row>
    <row r="44" ht="21.55" customHeight="1"/>
    <row r="45" ht="21.55" customHeight="1" spans="1:34">
      <c r="A45" s="52" t="s">
        <v>122</v>
      </c>
      <c r="B45" s="52"/>
      <c r="C45" s="52"/>
      <c r="D45" s="52"/>
      <c r="E45" s="26">
        <f>0.133322*10^($AF$46-$AG$46/(E42+$AH$46))/101.325</f>
        <v>0.303829642572323</v>
      </c>
      <c r="AF45" t="s">
        <v>123</v>
      </c>
      <c r="AG45" t="s">
        <v>124</v>
      </c>
      <c r="AH45" t="s">
        <v>125</v>
      </c>
    </row>
    <row r="46" ht="21.55" customHeight="1" spans="1:34">
      <c r="A46" s="52" t="s">
        <v>45</v>
      </c>
      <c r="B46" s="52"/>
      <c r="C46" s="52"/>
      <c r="D46" s="52"/>
      <c r="E46" s="55">
        <v>20.7</v>
      </c>
      <c r="M46" s="55"/>
      <c r="AF46" s="76">
        <v>7.11714</v>
      </c>
      <c r="AG46" s="76">
        <v>1210.595</v>
      </c>
      <c r="AH46" s="76">
        <v>229.664</v>
      </c>
    </row>
    <row r="47" ht="21.55" customHeight="1" spans="1:5">
      <c r="A47" s="52" t="s">
        <v>126</v>
      </c>
      <c r="B47" s="52"/>
      <c r="C47" s="52"/>
      <c r="D47" s="52"/>
      <c r="E47" s="56">
        <f>(($E$46-1)/($E$46+2))*(($E$60*$E$43/$E$40)*1000000)</f>
        <v>21232.1143909107</v>
      </c>
    </row>
    <row r="48" ht="21.55" customHeight="1" spans="27:28">
      <c r="AA48" s="73" t="s">
        <v>47</v>
      </c>
      <c r="AB48" s="77">
        <f>(34.9568-6687.72/(E43)-2101410/(E43^2)+92474600/(E43^3))*0.000001</f>
        <v>-7.62444260891735e-6</v>
      </c>
    </row>
    <row r="49" ht="21.55" customHeight="1" spans="1:28">
      <c r="A49" s="57" t="s">
        <v>48</v>
      </c>
      <c r="B49" s="57"/>
      <c r="C49" s="57"/>
      <c r="D49" s="57"/>
      <c r="E49" s="55">
        <f>(1.7037*1E-30+3.01*1E-34*E43-2*1E-37*E43^2)*1E+30</f>
        <v>1.7756644655</v>
      </c>
      <c r="AA49" s="73" t="s">
        <v>49</v>
      </c>
      <c r="AB49" s="77">
        <f>E60*E43*(0.000000007-0.00000000147184*EXP(1734.29/E43))*0.000001</f>
        <v>-1.20825185243785e-9</v>
      </c>
    </row>
    <row r="50" ht="21.55" customHeight="1" spans="1:28">
      <c r="A50" s="52" t="s">
        <v>50</v>
      </c>
      <c r="B50" s="52"/>
      <c r="C50" s="52"/>
      <c r="D50" s="52"/>
      <c r="E50" s="55">
        <f>(1.5343*1E-30+2.88*1E-34*E43-1.63*1E-37*E43^2)*1E+30</f>
        <v>1.6056775721325</v>
      </c>
      <c r="AA50" s="73" t="s">
        <v>51</v>
      </c>
      <c r="AB50" s="77">
        <f>(32.366097-14113.8/(E43)-1244535/(E43^2)-2348789000/(E43^4))*0.000001</f>
        <v>-2.92693631333802e-5</v>
      </c>
    </row>
    <row r="51" ht="21.55" customHeight="1" spans="1:5">
      <c r="A51" s="52" t="s">
        <v>52</v>
      </c>
      <c r="B51" s="52"/>
      <c r="C51" s="52"/>
      <c r="D51" s="52"/>
      <c r="E51" s="55">
        <f>(1.62526*1E-30+1.649*1E-34*E43)*1E+30</f>
        <v>1.674424935</v>
      </c>
    </row>
    <row r="52" ht="21.55" customHeight="1" spans="1:28">
      <c r="A52" s="57" t="s">
        <v>53</v>
      </c>
      <c r="B52" s="57"/>
      <c r="C52" s="57"/>
      <c r="D52" s="57"/>
      <c r="E52" s="1">
        <v>0.780818</v>
      </c>
      <c r="AA52" s="78"/>
      <c r="AB52" s="79"/>
    </row>
    <row r="53" ht="21.55" customHeight="1" spans="1:28">
      <c r="A53" s="52" t="s">
        <v>54</v>
      </c>
      <c r="B53" s="52"/>
      <c r="C53" s="52"/>
      <c r="D53" s="52"/>
      <c r="E53" s="1">
        <v>0.209435</v>
      </c>
      <c r="AA53" s="78"/>
      <c r="AB53" s="79"/>
    </row>
    <row r="54" ht="21.55" customHeight="1" spans="1:28">
      <c r="A54" s="52" t="s">
        <v>55</v>
      </c>
      <c r="B54" s="52"/>
      <c r="C54" s="52"/>
      <c r="D54" s="52"/>
      <c r="E54" s="1">
        <v>0.009332</v>
      </c>
      <c r="AA54">
        <v>1.501</v>
      </c>
      <c r="AB54" s="80" t="s">
        <v>56</v>
      </c>
    </row>
    <row r="55" ht="21.55" customHeight="1" spans="1:28">
      <c r="A55" s="58" t="s">
        <v>57</v>
      </c>
      <c r="B55" s="58"/>
      <c r="C55" s="58"/>
      <c r="D55" s="58"/>
      <c r="E55" s="1">
        <f>E52*E49+E53*E50+E54*E51</f>
        <v>1.73838159243577</v>
      </c>
      <c r="AA55">
        <f>AA54/1E+24</f>
        <v>1.501e-24</v>
      </c>
      <c r="AB55" s="27">
        <f>AB54^2/(3*E62*E43)</f>
        <v>2.78643217842878e-38</v>
      </c>
    </row>
    <row r="56" ht="21.55" customHeight="1" spans="1:25">
      <c r="A56" s="58" t="s">
        <v>58</v>
      </c>
      <c r="B56" s="58"/>
      <c r="C56" s="58"/>
      <c r="D56" s="58"/>
      <c r="E56" s="1">
        <f>1E-24*4*PI()*E55*E61/3</f>
        <v>4.38504924667602</v>
      </c>
      <c r="Y56" s="1">
        <f>(4*PI()/3)*(E61)*(AA55+AB55)</f>
        <v>3.78625668144494</v>
      </c>
    </row>
    <row r="57" ht="21.55" customHeight="1" spans="1:25">
      <c r="A57" s="52" t="s">
        <v>59</v>
      </c>
      <c r="B57" s="52"/>
      <c r="C57" s="52"/>
      <c r="D57" s="52"/>
      <c r="E57" s="30">
        <f>(2*(E40/(E60*E43))*E56*0.000001+1)/(1-(E40/(E60*E43)*E56*0.000001))</f>
        <v>1.00053779988</v>
      </c>
      <c r="Y57" s="30">
        <f>(2*(E40/(E60*E43))*Y56*0.000001+1)/(1-(E40/(E60*E43)*Y56*0.000001))</f>
        <v>1.00046435021123</v>
      </c>
    </row>
    <row r="58" ht="21.55" customHeight="1"/>
    <row r="59" ht="21.55" customHeight="1" spans="1:5">
      <c r="A59" s="52" t="s">
        <v>60</v>
      </c>
      <c r="B59" s="52"/>
      <c r="C59" s="52"/>
      <c r="D59" s="52"/>
      <c r="E59" s="59">
        <v>8.8542e-12</v>
      </c>
    </row>
    <row r="60" ht="21.55" customHeight="1" spans="1:5">
      <c r="A60" s="52" t="s">
        <v>61</v>
      </c>
      <c r="B60" s="52"/>
      <c r="C60" s="52"/>
      <c r="D60" s="52"/>
      <c r="E60">
        <v>8.314472</v>
      </c>
    </row>
    <row r="61" ht="21.55" customHeight="1" spans="1:5">
      <c r="A61" s="52" t="s">
        <v>62</v>
      </c>
      <c r="B61" s="52"/>
      <c r="C61" s="52"/>
      <c r="D61" s="52"/>
      <c r="E61" s="59">
        <v>6.022e+23</v>
      </c>
    </row>
    <row r="62" ht="21.55" customHeight="1" spans="1:5">
      <c r="A62" s="52" t="s">
        <v>63</v>
      </c>
      <c r="B62" s="52"/>
      <c r="C62" s="52"/>
      <c r="D62" s="52"/>
      <c r="E62" s="27">
        <v>1.380649e-23</v>
      </c>
    </row>
    <row r="70" ht="102" spans="27:27">
      <c r="AA70" s="81" t="s">
        <v>64</v>
      </c>
    </row>
    <row r="71" ht="114.75" spans="27:27">
      <c r="AA71" s="81" t="s">
        <v>65</v>
      </c>
    </row>
    <row r="72" ht="12.75"/>
    <row r="73" ht="12.75"/>
    <row r="74" ht="76.5" spans="27:27">
      <c r="AA74" s="82" t="s">
        <v>66</v>
      </c>
    </row>
    <row r="75" ht="12.75"/>
    <row r="76" ht="12.75"/>
    <row r="77" ht="12.75"/>
    <row r="78" ht="12.75"/>
  </sheetData>
  <autoFilter xmlns:etc="http://www.wps.cn/officeDocument/2017/etCustomData" ref="A8:A36" etc:filterBottomFollowUsedRange="0">
    <filterColumn colId="0">
      <filters>
        <filter val="0.1 %"/>
        <filter val="1.0 %"/>
        <filter val="10.0 %"/>
        <filter val="100.0 %"/>
      </filters>
    </filterColumn>
    <extLst/>
  </autoFilter>
  <mergeCells count="27">
    <mergeCell ref="G2:M2"/>
    <mergeCell ref="O2:Y2"/>
    <mergeCell ref="AA2:AD2"/>
    <mergeCell ref="U3:Y3"/>
    <mergeCell ref="AA3:AD3"/>
    <mergeCell ref="A5:D5"/>
    <mergeCell ref="A39:E39"/>
    <mergeCell ref="A40:D40"/>
    <mergeCell ref="A41:D41"/>
    <mergeCell ref="A42:D42"/>
    <mergeCell ref="A43:D43"/>
    <mergeCell ref="A45:D45"/>
    <mergeCell ref="A46:D46"/>
    <mergeCell ref="A47:D47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9:D59"/>
    <mergeCell ref="A60:D60"/>
    <mergeCell ref="A61:D61"/>
    <mergeCell ref="A62:D62"/>
  </mergeCells>
  <hyperlinks>
    <hyperlink ref="AA70" r:id="rId13" display="Sci-Hub | The Dielectric Constant of Water Vapor in the Microwave Region. Journal of Applied Physics, 23(2), 220–223 | 10.1063/1.1702178 "/>
    <hyperlink ref="AA71" r:id="rId14" display="Sci-Hub | Automatic digital microwave hygrometer. Review of Scientific Instruments, 46(7), 867 | 10.1063/1.1134331 "/>
    <hyperlink ref="AA74" r:id="rId15" display="*Thermodynamic Properties of Moist Air Containing 1000 to 5000 PPMv of Water Vapor "/>
  </hyperlinks>
  <pageMargins left="0.7875" right="0.7875" top="1.025" bottom="1.025" header="0.7875" footer="0.7875"/>
  <pageSetup paperSize="1" orientation="portrait" useFirstPageNumber="1" horizontalDpi="300" verticalDpi="300"/>
  <headerFooter>
    <oddHeader>&amp;C&amp;A</oddHeader>
    <oddFooter>&amp;CPage &amp;P</oddFooter>
  </headerFooter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workbookViewId="0">
      <selection activeCell="J2" sqref="J2:K2"/>
    </sheetView>
  </sheetViews>
  <sheetFormatPr defaultColWidth="9.14285714285714" defaultRowHeight="12.75"/>
  <cols>
    <col min="2" max="2" width="22.8571428571429" style="30" customWidth="1"/>
    <col min="3" max="6" width="12.8571428571429"/>
    <col min="7" max="7" width="14"/>
    <col min="8" max="9" width="12.8571428571429"/>
    <col min="16" max="16" width="13"/>
    <col min="17" max="17" width="12.8571428571429"/>
    <col min="19" max="19" width="12.8571428571429"/>
  </cols>
  <sheetData>
    <row r="1" spans="3:7"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 spans="4:10">
      <c r="D2" t="s">
        <v>72</v>
      </c>
      <c r="E2" t="s">
        <v>73</v>
      </c>
      <c r="H2" t="s">
        <v>73</v>
      </c>
      <c r="J2" t="s">
        <v>72</v>
      </c>
    </row>
    <row r="3" spans="4:12">
      <c r="D3" s="13" t="s">
        <v>74</v>
      </c>
      <c r="E3" s="13"/>
      <c r="K3" t="s">
        <v>75</v>
      </c>
      <c r="L3" t="s">
        <v>76</v>
      </c>
    </row>
    <row r="4" spans="1:16">
      <c r="A4" t="s">
        <v>18</v>
      </c>
      <c r="B4" s="30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26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</row>
    <row r="5" spans="1:16">
      <c r="A5" s="25">
        <f>'H2O Calculations'!A8</f>
        <v>0</v>
      </c>
      <c r="B5" s="30">
        <f>'Acetone Calculations'!AG8</f>
        <v>1.00053779988</v>
      </c>
      <c r="C5" s="26">
        <f t="shared" ref="C5:C35" si="0">($C$42^2/($C$42/$C$51))+($C$44^2/($C$44/B5))</f>
        <v>3.14687502610819</v>
      </c>
      <c r="D5" s="26">
        <f t="shared" ref="D5:D35" si="1">$C$51*$D$42+B5*((1-$D$42)^2)/(B5*(1-$D$42-$D$44)+$D$44)</f>
        <v>3.35582527594115</v>
      </c>
      <c r="E5" s="26">
        <f t="shared" ref="E5:E35" si="2">$C$51*$E$42+B5*((1-$E$42)^2)/(B5*(1-$E$42-$E$44)+$E$44)</f>
        <v>1.14314891408739</v>
      </c>
      <c r="G5">
        <v>3.29577</v>
      </c>
      <c r="H5" s="26">
        <f t="shared" ref="H5:H35" si="3">$C$51*$H$42+B5*(1-$H$42)^2/(B5*(1-$H$42-$H$44)+$H$44)</f>
        <v>3.35582527594115</v>
      </c>
      <c r="I5">
        <f t="shared" ref="I5:I35" si="4">120*PI()*$B$51/($H$37*SQRT(H5))</f>
        <v>50.5620195986911</v>
      </c>
      <c r="P5" s="30">
        <f t="shared" ref="P5:P33" si="5">B5-1</f>
        <v>0.000537799880000023</v>
      </c>
    </row>
    <row r="6" spans="1:16">
      <c r="A6" s="25">
        <f>'H2O Calculations'!A9</f>
        <v>0.1</v>
      </c>
      <c r="B6" s="30">
        <f>'Acetone Calculations'!AG9</f>
        <v>1.00132915657834</v>
      </c>
      <c r="C6" s="26">
        <f t="shared" si="0"/>
        <v>3.14716378261742</v>
      </c>
      <c r="D6" s="26">
        <f t="shared" si="1"/>
        <v>3.35606510331016</v>
      </c>
      <c r="E6" s="26">
        <f t="shared" si="2"/>
        <v>1.14314891485637</v>
      </c>
      <c r="H6" s="26">
        <f t="shared" si="3"/>
        <v>3.35606510331016</v>
      </c>
      <c r="I6">
        <f t="shared" si="4"/>
        <v>50.5602129631814</v>
      </c>
      <c r="P6" s="30">
        <f t="shared" si="5"/>
        <v>0.00132915657833999</v>
      </c>
    </row>
    <row r="7" hidden="1" spans="1:16">
      <c r="A7" s="25">
        <f>'H2O Calculations'!A10</f>
        <v>0.2</v>
      </c>
      <c r="B7" s="30">
        <f>'Acetone Calculations'!AG10</f>
        <v>1.00212093080893</v>
      </c>
      <c r="C7" s="26">
        <f t="shared" si="0"/>
        <v>3.14745269147913</v>
      </c>
      <c r="D7" s="26">
        <f t="shared" si="1"/>
        <v>3.35630505721588</v>
      </c>
      <c r="E7" s="26">
        <f t="shared" si="2"/>
        <v>1.14314891562454</v>
      </c>
      <c r="H7" s="26">
        <f t="shared" si="3"/>
        <v>3.35630505721588</v>
      </c>
      <c r="I7">
        <f t="shared" si="4"/>
        <v>50.558405568261</v>
      </c>
      <c r="P7" s="30">
        <f t="shared" si="5"/>
        <v>0.00212093080893005</v>
      </c>
    </row>
    <row r="8" hidden="1" spans="1:16">
      <c r="A8" s="25">
        <f>'H2O Calculations'!A11</f>
        <v>0.3</v>
      </c>
      <c r="B8" s="30">
        <f>'Acetone Calculations'!AG11</f>
        <v>1.00291312290228</v>
      </c>
      <c r="C8" s="26">
        <f t="shared" si="0"/>
        <v>3.14774175281391</v>
      </c>
      <c r="D8" s="26">
        <f t="shared" si="1"/>
        <v>3.35654513775845</v>
      </c>
      <c r="E8" s="26">
        <f t="shared" si="2"/>
        <v>1.1431489163919</v>
      </c>
      <c r="H8" s="26">
        <f t="shared" si="3"/>
        <v>3.35654513775845</v>
      </c>
      <c r="I8">
        <f t="shared" si="4"/>
        <v>50.5565974134474</v>
      </c>
      <c r="P8" s="30">
        <f t="shared" si="5"/>
        <v>0.00291312290228007</v>
      </c>
    </row>
    <row r="9" hidden="1" spans="1:16">
      <c r="A9" s="25">
        <f>'H2O Calculations'!A12</f>
        <v>0.4</v>
      </c>
      <c r="B9" s="30">
        <f>'Acetone Calculations'!AG12</f>
        <v>1.00370573318929</v>
      </c>
      <c r="C9" s="26">
        <f t="shared" si="0"/>
        <v>3.14803096674252</v>
      </c>
      <c r="D9" s="26">
        <f t="shared" si="1"/>
        <v>3.35678534503816</v>
      </c>
      <c r="E9" s="26">
        <f t="shared" si="2"/>
        <v>1.14314891715846</v>
      </c>
      <c r="H9" s="26">
        <f t="shared" si="3"/>
        <v>3.35678534503816</v>
      </c>
      <c r="I9">
        <f t="shared" si="4"/>
        <v>50.5547884982578</v>
      </c>
      <c r="P9" s="30">
        <f t="shared" si="5"/>
        <v>0.00370573318929002</v>
      </c>
    </row>
    <row r="10" hidden="1" spans="1:16">
      <c r="A10" s="25">
        <f>'H2O Calculations'!A13</f>
        <v>0.5</v>
      </c>
      <c r="B10" s="30">
        <f>'Acetone Calculations'!AG13</f>
        <v>1.00449876200117</v>
      </c>
      <c r="C10" s="26">
        <f t="shared" si="0"/>
        <v>3.1483203333858</v>
      </c>
      <c r="D10" s="26">
        <f t="shared" si="1"/>
        <v>3.35702567915539</v>
      </c>
      <c r="E10" s="26">
        <f t="shared" si="2"/>
        <v>1.14314891792421</v>
      </c>
      <c r="H10" s="26">
        <f t="shared" si="3"/>
        <v>3.35702567915539</v>
      </c>
      <c r="I10">
        <f t="shared" si="4"/>
        <v>50.5529788222091</v>
      </c>
      <c r="P10" s="30">
        <f t="shared" si="5"/>
        <v>0.00449876200117005</v>
      </c>
    </row>
    <row r="11" hidden="1" spans="1:16">
      <c r="A11" s="25">
        <f>'H2O Calculations'!A14</f>
        <v>0.6</v>
      </c>
      <c r="B11" s="30">
        <f>'Acetone Calculations'!AG14</f>
        <v>1.00529220966952</v>
      </c>
      <c r="C11" s="26">
        <f t="shared" si="0"/>
        <v>3.14860985286475</v>
      </c>
      <c r="D11" s="26">
        <f t="shared" si="1"/>
        <v>3.35726614021064</v>
      </c>
      <c r="E11" s="26">
        <f t="shared" si="2"/>
        <v>1.14314891868915</v>
      </c>
      <c r="H11" s="26">
        <f t="shared" si="3"/>
        <v>3.35726614021064</v>
      </c>
      <c r="I11">
        <f t="shared" si="4"/>
        <v>50.5511683848176</v>
      </c>
      <c r="P11" s="30">
        <f t="shared" si="5"/>
        <v>0.00529220966952004</v>
      </c>
    </row>
    <row r="12" hidden="1" spans="1:16">
      <c r="A12" s="25">
        <f>'H2O Calculations'!A15</f>
        <v>0.7</v>
      </c>
      <c r="B12" s="30">
        <f>'Acetone Calculations'!AG15</f>
        <v>1.00608607652627</v>
      </c>
      <c r="C12" s="26">
        <f t="shared" si="0"/>
        <v>3.14889952530049</v>
      </c>
      <c r="D12" s="26">
        <f t="shared" si="1"/>
        <v>3.35750672830448</v>
      </c>
      <c r="E12" s="26">
        <f t="shared" si="2"/>
        <v>1.14314891945329</v>
      </c>
      <c r="H12" s="26">
        <f t="shared" si="3"/>
        <v>3.35750672830448</v>
      </c>
      <c r="I12">
        <f t="shared" si="4"/>
        <v>50.5493571855993</v>
      </c>
      <c r="P12" s="30">
        <f t="shared" si="5"/>
        <v>0.00608607652627002</v>
      </c>
    </row>
    <row r="13" hidden="1" spans="1:16">
      <c r="A13" s="25">
        <f>'H2O Calculations'!A16</f>
        <v>0.8</v>
      </c>
      <c r="B13" s="30">
        <f>'Acetone Calculations'!AG16</f>
        <v>1.00688036290369</v>
      </c>
      <c r="C13" s="26">
        <f t="shared" si="0"/>
        <v>3.14918935081427</v>
      </c>
      <c r="D13" s="26">
        <f t="shared" si="1"/>
        <v>3.35774744353763</v>
      </c>
      <c r="E13" s="26">
        <f t="shared" si="2"/>
        <v>1.14314892021663</v>
      </c>
      <c r="H13" s="26">
        <f t="shared" si="3"/>
        <v>3.35774744353763</v>
      </c>
      <c r="I13">
        <f t="shared" si="4"/>
        <v>50.5475452240697</v>
      </c>
      <c r="P13" s="30">
        <f t="shared" si="5"/>
        <v>0.00688036290368998</v>
      </c>
    </row>
    <row r="14" hidden="1" spans="1:16">
      <c r="A14" s="25">
        <f>'H2O Calculations'!A17</f>
        <v>0.9</v>
      </c>
      <c r="B14" s="30">
        <f>'Acetone Calculations'!AG17</f>
        <v>1.00767506913441</v>
      </c>
      <c r="C14" s="26">
        <f t="shared" si="0"/>
        <v>3.14947932952744</v>
      </c>
      <c r="D14" s="26">
        <f t="shared" si="1"/>
        <v>3.35798828601089</v>
      </c>
      <c r="E14" s="26">
        <f t="shared" si="2"/>
        <v>1.14314892097917</v>
      </c>
      <c r="H14" s="26">
        <f t="shared" si="3"/>
        <v>3.35798828601089</v>
      </c>
      <c r="I14">
        <f t="shared" si="4"/>
        <v>50.5457324997439</v>
      </c>
      <c r="P14" s="30">
        <f t="shared" si="5"/>
        <v>0.00767506913441007</v>
      </c>
    </row>
    <row r="15" spans="1:16">
      <c r="A15" s="25">
        <f>'H2O Calculations'!A18</f>
        <v>1</v>
      </c>
      <c r="B15" s="30">
        <f>'Acetone Calculations'!AG18</f>
        <v>1.00847019555143</v>
      </c>
      <c r="C15" s="26">
        <f t="shared" si="0"/>
        <v>3.14976946156152</v>
      </c>
      <c r="D15" s="26">
        <f t="shared" si="1"/>
        <v>3.35822925582517</v>
      </c>
      <c r="E15" s="26">
        <f t="shared" si="2"/>
        <v>1.14314892174091</v>
      </c>
      <c r="H15" s="26">
        <f t="shared" si="3"/>
        <v>3.35822925582517</v>
      </c>
      <c r="I15">
        <f t="shared" si="4"/>
        <v>50.5439190121367</v>
      </c>
      <c r="P15" s="30">
        <f t="shared" si="5"/>
        <v>0.00847019555142992</v>
      </c>
    </row>
    <row r="16" hidden="1" spans="1:16">
      <c r="A16" s="25">
        <f>'H2O Calculations'!A19</f>
        <v>2</v>
      </c>
      <c r="B16" s="30">
        <f>'Acetone Calculations'!AG19</f>
        <v>1.01644464347673</v>
      </c>
      <c r="C16" s="26">
        <f t="shared" si="0"/>
        <v>3.15267924137481</v>
      </c>
      <c r="D16" s="26">
        <f t="shared" si="1"/>
        <v>3.36064598000191</v>
      </c>
      <c r="E16" s="26">
        <f t="shared" si="2"/>
        <v>1.14314892931461</v>
      </c>
      <c r="H16" s="26">
        <f t="shared" si="3"/>
        <v>3.36064598000191</v>
      </c>
      <c r="I16">
        <f t="shared" si="4"/>
        <v>50.5257420485269</v>
      </c>
      <c r="P16" s="30">
        <f t="shared" si="5"/>
        <v>0.01644464347673</v>
      </c>
    </row>
    <row r="17" hidden="1" spans="1:16">
      <c r="A17" s="25">
        <f>'H2O Calculations'!A20</f>
        <v>3</v>
      </c>
      <c r="B17" s="30">
        <f>'Acetone Calculations'!AG20</f>
        <v>1.024461478944</v>
      </c>
      <c r="C17" s="26">
        <f t="shared" si="0"/>
        <v>3.15560448789064</v>
      </c>
      <c r="D17" s="26">
        <f t="shared" si="1"/>
        <v>3.36307555008328</v>
      </c>
      <c r="E17" s="26">
        <f t="shared" si="2"/>
        <v>1.14314893680971</v>
      </c>
      <c r="H17" s="26">
        <f t="shared" si="3"/>
        <v>3.36307555008328</v>
      </c>
      <c r="I17">
        <f t="shared" si="4"/>
        <v>50.5074882198698</v>
      </c>
      <c r="P17" s="30">
        <f t="shared" si="5"/>
        <v>0.0244614789440001</v>
      </c>
    </row>
    <row r="18" hidden="1" spans="1:16">
      <c r="A18" s="25">
        <f>'H2O Calculations'!A21</f>
        <v>4</v>
      </c>
      <c r="B18" s="30">
        <f>'Acetone Calculations'!AG21</f>
        <v>1.03252104081523</v>
      </c>
      <c r="C18" s="26">
        <f t="shared" si="0"/>
        <v>3.15854532475566</v>
      </c>
      <c r="D18" s="26">
        <f t="shared" si="1"/>
        <v>3.36551806876427</v>
      </c>
      <c r="E18" s="26">
        <f t="shared" si="2"/>
        <v>1.14314894422743</v>
      </c>
      <c r="H18" s="26">
        <f t="shared" si="3"/>
        <v>3.36551806876427</v>
      </c>
      <c r="I18">
        <f t="shared" si="4"/>
        <v>50.4891570339749</v>
      </c>
      <c r="P18" s="30">
        <f t="shared" si="5"/>
        <v>0.0325210408152301</v>
      </c>
    </row>
    <row r="19" hidden="1" spans="1:16">
      <c r="A19" s="25">
        <f>'H2O Calculations'!A22</f>
        <v>5</v>
      </c>
      <c r="B19" s="30">
        <f>'Acetone Calculations'!AG22</f>
        <v>1.04062367157405</v>
      </c>
      <c r="C19" s="26">
        <f t="shared" si="0"/>
        <v>3.161501876938</v>
      </c>
      <c r="D19" s="26">
        <f t="shared" si="1"/>
        <v>3.36797363983746</v>
      </c>
      <c r="E19" s="26">
        <f t="shared" si="2"/>
        <v>1.14314895156898</v>
      </c>
      <c r="H19" s="26">
        <f t="shared" si="3"/>
        <v>3.36797363983746</v>
      </c>
      <c r="I19">
        <f t="shared" si="4"/>
        <v>50.4707479944074</v>
      </c>
      <c r="P19" s="30">
        <f t="shared" si="5"/>
        <v>0.04062367157405</v>
      </c>
    </row>
    <row r="20" hidden="1" spans="1:16">
      <c r="A20" s="25">
        <f>'H2O Calculations'!A23</f>
        <v>6</v>
      </c>
      <c r="B20" s="30">
        <f>'Acetone Calculations'!AG23</f>
        <v>1.04876971737426</v>
      </c>
      <c r="C20" s="26">
        <f t="shared" si="0"/>
        <v>3.16447427074503</v>
      </c>
      <c r="D20" s="26">
        <f t="shared" si="1"/>
        <v>3.37044236820771</v>
      </c>
      <c r="E20" s="26">
        <f t="shared" si="2"/>
        <v>1.1431489588355</v>
      </c>
      <c r="H20" s="26">
        <f t="shared" si="3"/>
        <v>3.37044236820771</v>
      </c>
      <c r="I20">
        <f t="shared" si="4"/>
        <v>50.4522606004418</v>
      </c>
      <c r="P20" s="30">
        <f t="shared" si="5"/>
        <v>0.0487697173742601</v>
      </c>
    </row>
    <row r="21" hidden="1" spans="1:16">
      <c r="A21" s="25">
        <f>'H2O Calculations'!A24</f>
        <v>7</v>
      </c>
      <c r="B21" s="30">
        <f>'Acetone Calculations'!AG24</f>
        <v>1.05695952808908</v>
      </c>
      <c r="C21" s="26">
        <f t="shared" si="0"/>
        <v>3.16746263384124</v>
      </c>
      <c r="D21" s="26">
        <f t="shared" si="1"/>
        <v>3.37292435990705</v>
      </c>
      <c r="E21" s="26">
        <f t="shared" si="2"/>
        <v>1.14314896602816</v>
      </c>
      <c r="H21" s="26">
        <f t="shared" si="3"/>
        <v>3.37292435990705</v>
      </c>
      <c r="I21">
        <f t="shared" si="4"/>
        <v>50.4336943470156</v>
      </c>
      <c r="P21" s="30">
        <f t="shared" si="5"/>
        <v>0.05695952808908</v>
      </c>
    </row>
    <row r="22" hidden="1" spans="1:16">
      <c r="A22" s="25">
        <f>'H2O Calculations'!A25</f>
        <v>8</v>
      </c>
      <c r="B22" s="30">
        <f>'Acetone Calculations'!AG25</f>
        <v>1.06519345736129</v>
      </c>
      <c r="C22" s="26">
        <f t="shared" si="0"/>
        <v>3.17046709526663</v>
      </c>
      <c r="D22" s="26">
        <f t="shared" si="1"/>
        <v>3.37541972210994</v>
      </c>
      <c r="E22" s="26">
        <f t="shared" si="2"/>
        <v>1.14314897314806</v>
      </c>
      <c r="H22" s="26">
        <f t="shared" si="3"/>
        <v>3.37541972210994</v>
      </c>
      <c r="I22">
        <f t="shared" si="4"/>
        <v>50.4150487246811</v>
      </c>
      <c r="P22" s="30">
        <f t="shared" si="5"/>
        <v>0.06519345736129</v>
      </c>
    </row>
    <row r="23" hidden="1" spans="1:16">
      <c r="A23" s="25">
        <f>'H2O Calculations'!A26</f>
        <v>9</v>
      </c>
      <c r="B23" s="30">
        <f>'Acetone Calculations'!AG26</f>
        <v>1.07347186265408</v>
      </c>
      <c r="C23" s="26">
        <f t="shared" si="0"/>
        <v>3.1734877854552</v>
      </c>
      <c r="D23" s="26">
        <f t="shared" si="1"/>
        <v>3.37792856314864</v>
      </c>
      <c r="E23" s="26">
        <f t="shared" si="2"/>
        <v>1.14314898019632</v>
      </c>
      <c r="H23" s="26">
        <f t="shared" si="3"/>
        <v>3.37792856314864</v>
      </c>
      <c r="I23">
        <f t="shared" si="4"/>
        <v>50.396323219558</v>
      </c>
      <c r="P23" s="30">
        <f t="shared" si="5"/>
        <v>0.07347186265408</v>
      </c>
    </row>
    <row r="24" spans="1:16">
      <c r="A24" s="25">
        <f>'H2O Calculations'!A27</f>
        <v>10</v>
      </c>
      <c r="B24" s="30">
        <f>'Acetone Calculations'!AG27</f>
        <v>1.08179510530286</v>
      </c>
      <c r="C24" s="26">
        <f t="shared" si="0"/>
        <v>3.17652483625387</v>
      </c>
      <c r="D24" s="26">
        <f t="shared" si="1"/>
        <v>3.38045099252891</v>
      </c>
      <c r="E24" s="26">
        <f t="shared" si="2"/>
        <v>1.14314898717399</v>
      </c>
      <c r="H24" s="26">
        <f t="shared" si="3"/>
        <v>3.38045099252891</v>
      </c>
      <c r="I24">
        <f t="shared" si="4"/>
        <v>50.3775173132841</v>
      </c>
      <c r="P24" s="30">
        <f t="shared" si="5"/>
        <v>0.08179510530286</v>
      </c>
    </row>
    <row r="25" hidden="1" spans="1:16">
      <c r="A25" s="25">
        <f>'H2O Calculations'!A28</f>
        <v>20</v>
      </c>
      <c r="B25" s="30">
        <f>'Acetone Calculations'!AG28</f>
        <v>1.16757595664542</v>
      </c>
      <c r="C25" s="26">
        <f t="shared" si="0"/>
        <v>3.20782523371607</v>
      </c>
      <c r="D25" s="26">
        <f t="shared" si="1"/>
        <v>3.40644760812952</v>
      </c>
      <c r="E25" s="26">
        <f t="shared" si="2"/>
        <v>1.14314905329114</v>
      </c>
      <c r="H25" s="26">
        <f t="shared" si="3"/>
        <v>3.40644760812952</v>
      </c>
      <c r="I25">
        <f t="shared" si="4"/>
        <v>50.1849188423389</v>
      </c>
      <c r="P25" s="30">
        <f t="shared" si="5"/>
        <v>0.16757595664542</v>
      </c>
    </row>
    <row r="26" hidden="1" spans="1:16">
      <c r="A26" s="25">
        <f>'H2O Calculations'!A29</f>
        <v>30</v>
      </c>
      <c r="B26" s="30">
        <f>'Acetone Calculations'!AG29</f>
        <v>1.2582689037481</v>
      </c>
      <c r="C26" s="26">
        <f t="shared" si="0"/>
        <v>3.24091799564256</v>
      </c>
      <c r="D26" s="26">
        <f t="shared" si="1"/>
        <v>3.43393287607235</v>
      </c>
      <c r="E26" s="26">
        <f t="shared" si="2"/>
        <v>1.14314911339038</v>
      </c>
      <c r="H26" s="26">
        <f t="shared" si="3"/>
        <v>3.43393287607235</v>
      </c>
      <c r="I26">
        <f t="shared" si="4"/>
        <v>49.9836747920682</v>
      </c>
      <c r="P26" s="30">
        <f t="shared" si="5"/>
        <v>0.2582689037481</v>
      </c>
    </row>
    <row r="27" hidden="1" spans="1:16">
      <c r="A27" s="25">
        <f>'H2O Calculations'!A30</f>
        <v>40</v>
      </c>
      <c r="B27" s="30">
        <f>'Acetone Calculations'!AG30</f>
        <v>1.354308307397</v>
      </c>
      <c r="C27" s="26">
        <f t="shared" si="0"/>
        <v>3.2759616150424</v>
      </c>
      <c r="D27" s="26">
        <f t="shared" si="1"/>
        <v>3.46303843308299</v>
      </c>
      <c r="E27" s="26">
        <f t="shared" si="2"/>
        <v>1.14314916825754</v>
      </c>
      <c r="H27" s="26">
        <f t="shared" si="3"/>
        <v>3.46303843308299</v>
      </c>
      <c r="I27">
        <f t="shared" si="4"/>
        <v>49.7731844369298</v>
      </c>
      <c r="P27" s="30">
        <f t="shared" si="5"/>
        <v>0.354308307397</v>
      </c>
    </row>
    <row r="28" hidden="1" spans="1:16">
      <c r="A28" s="25">
        <f>'H2O Calculations'!A31</f>
        <v>50</v>
      </c>
      <c r="B28" s="30">
        <f>'Acetone Calculations'!AG31</f>
        <v>1.45618129589668</v>
      </c>
      <c r="C28" s="26">
        <f t="shared" si="0"/>
        <v>3.3131338391553</v>
      </c>
      <c r="D28" s="26">
        <f t="shared" si="1"/>
        <v>3.49391190753168</v>
      </c>
      <c r="E28" s="26">
        <f t="shared" si="2"/>
        <v>1.14314921854737</v>
      </c>
      <c r="H28" s="26">
        <f t="shared" si="3"/>
        <v>3.49391190753168</v>
      </c>
      <c r="I28">
        <f t="shared" si="4"/>
        <v>49.552789517672</v>
      </c>
      <c r="P28" s="30">
        <f t="shared" si="5"/>
        <v>0.45618129589668</v>
      </c>
    </row>
    <row r="29" hidden="1" spans="1:16">
      <c r="A29" s="25">
        <f>'H2O Calculations'!A32</f>
        <v>60</v>
      </c>
      <c r="B29" s="30">
        <f>'Acetone Calculations'!AG32</f>
        <v>1.56443602900819</v>
      </c>
      <c r="C29" s="26">
        <f t="shared" si="0"/>
        <v>3.35263468486296</v>
      </c>
      <c r="D29" s="26">
        <f t="shared" si="1"/>
        <v>3.52671942388993</v>
      </c>
      <c r="E29" s="26">
        <f t="shared" si="2"/>
        <v>1.14314926480973</v>
      </c>
      <c r="H29" s="26">
        <f t="shared" si="3"/>
        <v>3.52671942388993</v>
      </c>
      <c r="I29">
        <f t="shared" si="4"/>
        <v>49.3217671074439</v>
      </c>
      <c r="P29" s="30">
        <f t="shared" si="5"/>
        <v>0.56443602900819</v>
      </c>
    </row>
    <row r="30" hidden="1" spans="1:16">
      <c r="A30" s="25">
        <f>'H2O Calculations'!A33</f>
        <v>70</v>
      </c>
      <c r="B30" s="30">
        <f>'Acetone Calculations'!AG33</f>
        <v>1.67969156516677</v>
      </c>
      <c r="C30" s="26">
        <f t="shared" si="0"/>
        <v>3.39469003911766</v>
      </c>
      <c r="D30" s="26">
        <f t="shared" si="1"/>
        <v>3.56164859307469</v>
      </c>
      <c r="E30" s="26">
        <f t="shared" si="2"/>
        <v>1.1431493075098</v>
      </c>
      <c r="H30" s="26">
        <f t="shared" si="3"/>
        <v>3.56164859307469</v>
      </c>
      <c r="I30">
        <f t="shared" si="4"/>
        <v>49.0793213763291</v>
      </c>
      <c r="P30" s="30">
        <f t="shared" si="5"/>
        <v>0.67969156516677</v>
      </c>
    </row>
    <row r="31" hidden="1" spans="1:16">
      <c r="A31" s="25">
        <f>'H2O Calculations'!A34</f>
        <v>80</v>
      </c>
      <c r="B31" s="30">
        <f>'Acetone Calculations'!AG34</f>
        <v>1.80264970699805</v>
      </c>
      <c r="C31" s="26">
        <f t="shared" si="0"/>
        <v>3.43955598122825</v>
      </c>
      <c r="D31" s="26">
        <f t="shared" si="1"/>
        <v>3.59891210233257</v>
      </c>
      <c r="E31" s="26">
        <f t="shared" si="2"/>
        <v>1.14314934704379</v>
      </c>
      <c r="H31" s="26">
        <f t="shared" si="3"/>
        <v>3.59891210233257</v>
      </c>
      <c r="I31">
        <f t="shared" si="4"/>
        <v>48.8245740479381</v>
      </c>
      <c r="P31" s="30">
        <f t="shared" si="5"/>
        <v>0.80264970699805</v>
      </c>
    </row>
    <row r="32" hidden="1" spans="1:16">
      <c r="A32" s="25">
        <f>'H2O Calculations'!A35</f>
        <v>90</v>
      </c>
      <c r="B32" s="30">
        <f>'Acetone Calculations'!AG35</f>
        <v>1.93410930386862</v>
      </c>
      <c r="C32" s="26">
        <f t="shared" si="0"/>
        <v>3.48752400168816</v>
      </c>
      <c r="D32" s="26">
        <f t="shared" si="1"/>
        <v>3.63875204974936</v>
      </c>
      <c r="E32" s="26">
        <f t="shared" si="2"/>
        <v>1.14314938375124</v>
      </c>
      <c r="H32" s="26">
        <f t="shared" si="3"/>
        <v>3.63875204974936</v>
      </c>
      <c r="I32">
        <f t="shared" si="4"/>
        <v>48.5565532956648</v>
      </c>
      <c r="P32" s="30">
        <f t="shared" si="5"/>
        <v>0.93410930386862</v>
      </c>
    </row>
    <row r="33" spans="1:16">
      <c r="A33" s="25">
        <f>'H2O Calculations'!A36</f>
        <v>100</v>
      </c>
      <c r="B33" s="30">
        <f>'Acetone Calculations'!AG36</f>
        <v>2.07498362734879</v>
      </c>
      <c r="C33" s="26">
        <f t="shared" si="0"/>
        <v>3.53892734227215</v>
      </c>
      <c r="D33" s="26">
        <f t="shared" si="1"/>
        <v>3.68144521003153</v>
      </c>
      <c r="E33" s="26">
        <f t="shared" si="2"/>
        <v>1.14314941792482</v>
      </c>
      <c r="H33" s="26">
        <f t="shared" si="3"/>
        <v>3.68144521003153</v>
      </c>
      <c r="I33">
        <f t="shared" si="4"/>
        <v>48.2741807681121</v>
      </c>
      <c r="P33" s="30">
        <f t="shared" si="5"/>
        <v>1.07498362734879</v>
      </c>
    </row>
    <row r="34" spans="1:16">
      <c r="A34" s="11" t="s">
        <v>91</v>
      </c>
      <c r="B34" s="31">
        <v>4.38</v>
      </c>
      <c r="C34" s="32">
        <f t="shared" si="0"/>
        <v>4.38</v>
      </c>
      <c r="D34" s="32">
        <f t="shared" si="1"/>
        <v>4.38</v>
      </c>
      <c r="E34" s="32">
        <f t="shared" si="2"/>
        <v>1.14314966483537</v>
      </c>
      <c r="F34" s="11"/>
      <c r="G34" s="11"/>
      <c r="H34" s="26">
        <f t="shared" si="3"/>
        <v>4.38</v>
      </c>
      <c r="I34">
        <f t="shared" si="4"/>
        <v>44.257515262403</v>
      </c>
      <c r="P34" s="30"/>
    </row>
    <row r="35" spans="1:16">
      <c r="A35" s="11" t="s">
        <v>91</v>
      </c>
      <c r="B35" s="31">
        <v>1</v>
      </c>
      <c r="C35" s="32">
        <f t="shared" si="0"/>
        <v>3.14667878942208</v>
      </c>
      <c r="D35" s="32">
        <f t="shared" si="1"/>
        <v>3.35566229111957</v>
      </c>
      <c r="E35" s="32">
        <f t="shared" si="2"/>
        <v>1.1431489135641</v>
      </c>
      <c r="F35" s="11"/>
      <c r="G35" s="11"/>
      <c r="H35" s="26">
        <f t="shared" si="3"/>
        <v>3.35566229111957</v>
      </c>
      <c r="I35">
        <f t="shared" si="4"/>
        <v>50.5632474847186</v>
      </c>
      <c r="P35" s="30"/>
    </row>
    <row r="36" spans="3:8">
      <c r="C36" t="s">
        <v>92</v>
      </c>
      <c r="D36" t="s">
        <v>92</v>
      </c>
      <c r="H36" t="s">
        <v>92</v>
      </c>
    </row>
    <row r="37" spans="3:8">
      <c r="C37" s="33">
        <f>A51+(2*B51/PI())*LN(17.08*(A51/(2*B51)+0.92))</f>
        <v>0.00206762011210206</v>
      </c>
      <c r="D37">
        <f>A51+(2*B51/PI())*LN(17.08*(A51/(2*B51)+0.92))</f>
        <v>0.00206762011210206</v>
      </c>
      <c r="H37">
        <f>A51+(2*B51/PI())*LN(17.08*(A51/(2*B51)+0.92))</f>
        <v>0.00206762011210206</v>
      </c>
    </row>
    <row r="38" spans="3:8">
      <c r="C38" t="s">
        <v>93</v>
      </c>
      <c r="D38" t="s">
        <v>94</v>
      </c>
      <c r="H38" t="s">
        <v>95</v>
      </c>
    </row>
    <row r="39" spans="3:8">
      <c r="C39">
        <f>B51/B51</f>
        <v>1</v>
      </c>
      <c r="D39">
        <f>(2*$B$51/PI())*ATAN((PI()/((PI()*D37)/(2*$B$51)-2))*(($E$51/$B$51)-1))</f>
        <v>0.000507997702522871</v>
      </c>
      <c r="H39">
        <f>(2*$B$51/PI())*ATAN((PI()/((PI()*H37)/(2*$B$51)-2))*(($E$51/$B$51)-1))</f>
        <v>0.000507997702522871</v>
      </c>
    </row>
    <row r="41" spans="3:8">
      <c r="C41" t="s">
        <v>96</v>
      </c>
      <c r="D41" t="s">
        <v>96</v>
      </c>
      <c r="E41" t="s">
        <v>96</v>
      </c>
      <c r="H41" t="s">
        <v>96</v>
      </c>
    </row>
    <row r="42" spans="3:8">
      <c r="C42">
        <f>($C$39/2)*(1+PI()/4-($B$51/C37)*LN((2*C37/$B$51)*SIN($C$39*PI()/2)/$C$39+COS($C$39*PI()/2)))</f>
        <v>0.635112067876355</v>
      </c>
      <c r="D42">
        <f>1-0.5*(B51/$D$37)*LN((PI()*$D$37/B51)-1)</f>
        <v>0.696941506248394</v>
      </c>
      <c r="E42">
        <f>0.5+0.9/(PI()*LN(B51/A51))</f>
        <v>0.0423517495751767</v>
      </c>
      <c r="H42">
        <f>1-0.5*($B$51/$H$37)*LN((PI()*$H$37/$B$51)-1)</f>
        <v>0.696941506248394</v>
      </c>
    </row>
    <row r="43" spans="3:8">
      <c r="C43" t="s">
        <v>97</v>
      </c>
      <c r="D43" t="s">
        <v>97</v>
      </c>
      <c r="E43" t="s">
        <v>97</v>
      </c>
      <c r="H43" t="s">
        <v>97</v>
      </c>
    </row>
    <row r="44" spans="3:8">
      <c r="C44">
        <f>1-C42</f>
        <v>0.364887932123645</v>
      </c>
      <c r="D44" s="33">
        <f>1-D42</f>
        <v>0.303058493751606</v>
      </c>
      <c r="E44">
        <f>(0.9+(PI()/4)*LN((E51/B51+1)/(E51/B51+A51/(4*B51)-1)))/(PI()*LN(8*B51/A51))*ACOS((1-(B51/E51)*(1-A51/(8*B51)))*SQRT((E51/B51+1)/(E51/B51+A51/(4*B51)-1)))</f>
        <v>9.73540120978592e-7</v>
      </c>
      <c r="H44">
        <f>1-H42-0.5*((B51-H39)/H37)*LN((PI()*H37/B51)*(COS(H39*PI()/(2*B51)))/(PI()*(E51/B51-0.5)+(H39*PI()/(2*B51)))+SIN(H39*PI()/(2*B51)))</f>
        <v>0.303058493751605</v>
      </c>
    </row>
    <row r="50" spans="1:5">
      <c r="A50" t="s">
        <v>98</v>
      </c>
      <c r="B50" s="30" t="s">
        <v>99</v>
      </c>
      <c r="C50" t="s">
        <v>100</v>
      </c>
      <c r="D50" t="s">
        <v>101</v>
      </c>
      <c r="E50" t="s">
        <v>102</v>
      </c>
    </row>
    <row r="51" spans="1:5">
      <c r="A51">
        <f>0.00095</f>
        <v>0.00095</v>
      </c>
      <c r="B51" s="30">
        <f>0.000508</f>
        <v>0.000508</v>
      </c>
      <c r="C51">
        <v>4.38</v>
      </c>
      <c r="D51">
        <v>100</v>
      </c>
      <c r="E51">
        <f>B51+D51</f>
        <v>100.000508</v>
      </c>
    </row>
    <row r="52" spans="17:19">
      <c r="Q52">
        <f>60*LN((8*B51/A51)+0.25*(A51/B51))</f>
        <v>93.4307260137241</v>
      </c>
      <c r="S52">
        <f>(C51+1)/2+(C51-1)/2*(1+10*(B51/A51))^(-0.5)</f>
        <v>3.36079505313974</v>
      </c>
    </row>
  </sheetData>
  <mergeCells count="1">
    <mergeCell ref="D3:E3"/>
  </mergeCells>
  <pageMargins left="0.75" right="0.75" top="1" bottom="1" header="0.5" footer="0.5"/>
  <headerFooter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235"/>
  <sheetViews>
    <sheetView workbookViewId="0">
      <selection activeCell="M46" sqref="M46:M50"/>
    </sheetView>
  </sheetViews>
  <sheetFormatPr defaultColWidth="9.14285714285714" defaultRowHeight="12.75"/>
  <cols>
    <col min="2" max="2" width="18.8571428571429" customWidth="1"/>
    <col min="4" max="15" width="14.7142857142857" style="1" customWidth="1"/>
  </cols>
  <sheetData>
    <row r="1" spans="4:9">
      <c r="D1" s="24" t="s">
        <v>103</v>
      </c>
      <c r="E1" s="24"/>
      <c r="F1" s="24"/>
      <c r="G1" s="24"/>
      <c r="H1" s="24"/>
      <c r="I1" s="24"/>
    </row>
    <row r="2" spans="4:15">
      <c r="D2" s="24">
        <f>0.25</f>
        <v>0.25</v>
      </c>
      <c r="E2" s="24"/>
      <c r="F2" s="24">
        <f>0.5</f>
        <v>0.5</v>
      </c>
      <c r="G2" s="24"/>
      <c r="H2" s="24">
        <f>0.612</f>
        <v>0.612</v>
      </c>
      <c r="I2" s="24"/>
      <c r="J2" s="24">
        <f>0.675</f>
        <v>0.675</v>
      </c>
      <c r="K2" s="24"/>
      <c r="L2" s="24">
        <f>0.75</f>
        <v>0.75</v>
      </c>
      <c r="M2" s="24"/>
      <c r="N2" s="24">
        <f>1</f>
        <v>1</v>
      </c>
      <c r="O2" s="24"/>
    </row>
    <row r="3" spans="1:15">
      <c r="A3" t="s">
        <v>18</v>
      </c>
      <c r="B3" t="s">
        <v>77</v>
      </c>
      <c r="C3" t="s">
        <v>78</v>
      </c>
      <c r="D3" s="1" t="s">
        <v>104</v>
      </c>
      <c r="E3" s="1" t="s">
        <v>105</v>
      </c>
      <c r="F3" s="1" t="s">
        <v>106</v>
      </c>
      <c r="G3" s="1" t="s">
        <v>107</v>
      </c>
      <c r="H3" s="1" t="s">
        <v>108</v>
      </c>
      <c r="I3" s="1" t="s">
        <v>109</v>
      </c>
      <c r="J3" s="1" t="s">
        <v>110</v>
      </c>
      <c r="K3" s="1" t="s">
        <v>111</v>
      </c>
      <c r="L3" s="1" t="s">
        <v>112</v>
      </c>
      <c r="M3" s="1" t="s">
        <v>113</v>
      </c>
      <c r="N3" s="1" t="s">
        <v>114</v>
      </c>
      <c r="O3" s="1" t="s">
        <v>115</v>
      </c>
    </row>
    <row r="4" spans="1:17">
      <c r="A4" s="25">
        <f>'H2O Calculations'!A8</f>
        <v>0</v>
      </c>
      <c r="B4" s="26">
        <f>'Calculo de Dk Acetona'!B5</f>
        <v>1.00053779988</v>
      </c>
      <c r="C4" s="26">
        <f>'Calculo de Dk Acetona'!D5</f>
        <v>3.35582527594115</v>
      </c>
      <c r="D4" s="1">
        <f>$D$2*360*$D$37*SQRT(C4*1)/$E$37</f>
        <v>2749.73904985522</v>
      </c>
      <c r="E4" s="1">
        <f>D4-$D$4</f>
        <v>0</v>
      </c>
      <c r="F4" s="1">
        <f>$F$2*360*$D$37*SQRT(C4*1)/$E$37</f>
        <v>5499.47809971044</v>
      </c>
      <c r="G4" s="1">
        <f>F4-$F$4</f>
        <v>0</v>
      </c>
      <c r="H4" s="1">
        <f>$H$2*360*$D$37*SQRT(C4*1)/$E$37</f>
        <v>6731.36119404558</v>
      </c>
      <c r="I4" s="1">
        <f>H4-$H$4</f>
        <v>0</v>
      </c>
      <c r="J4" s="1">
        <f>$J$2*360*$D$37*SQRT(C4*1)/$E$37</f>
        <v>7424.29543460909</v>
      </c>
      <c r="K4" s="1">
        <f>J4-$J$4</f>
        <v>0</v>
      </c>
      <c r="L4" s="1">
        <f>$L$2*360*$D$37*SQRT(C4*1)/$E$37</f>
        <v>8249.21714956566</v>
      </c>
      <c r="M4" s="1">
        <f>L4-$L$4</f>
        <v>0</v>
      </c>
      <c r="N4" s="1">
        <f>$N$2*360*$D$37*SQRT(C4*1)/$E$37</f>
        <v>10998.9561994209</v>
      </c>
      <c r="O4" s="1">
        <f>N4-$N$4</f>
        <v>0</v>
      </c>
      <c r="Q4" s="26">
        <v>3.35582531246294</v>
      </c>
    </row>
    <row r="5" spans="1:17">
      <c r="A5" s="25">
        <f>'H2O Calculations'!A9</f>
        <v>0.1</v>
      </c>
      <c r="B5" s="26">
        <f>'Calculo de Dk Acetona'!B6</f>
        <v>1.00132915657834</v>
      </c>
      <c r="C5" s="26">
        <f>'Calculo de Dk Acetona'!D6</f>
        <v>3.35606510331016</v>
      </c>
      <c r="D5" s="1">
        <f>$D$2*360*$D$37*SQRT(C5*1)/$E$37</f>
        <v>2749.8373045088</v>
      </c>
      <c r="E5" s="1">
        <f>D5-$D$4</f>
        <v>0.0982546535838082</v>
      </c>
      <c r="F5" s="1">
        <f>$F$2*360*$D$37*SQRT(C5*1)/$E$37</f>
        <v>5499.67460901761</v>
      </c>
      <c r="G5" s="1">
        <f>F5-$F$4</f>
        <v>0.196509307167616</v>
      </c>
      <c r="H5" s="1">
        <f>$H$2*360*$D$37*SQRT(C5*1)/$E$37</f>
        <v>6731.60172143755</v>
      </c>
      <c r="I5" s="1">
        <f>H5-$H$4</f>
        <v>0.240527391972137</v>
      </c>
      <c r="J5" s="1">
        <f>$J$2*360*$D$37*SQRT(C5*1)/$E$37</f>
        <v>7424.56072217377</v>
      </c>
      <c r="K5" s="1">
        <f>J5-$J$4</f>
        <v>0.265287564675418</v>
      </c>
      <c r="L5" s="1">
        <f>$L$2*360*$D$37*SQRT(C5*1)/$E$37</f>
        <v>8249.51191352641</v>
      </c>
      <c r="M5" s="1">
        <f>L5-$L$4</f>
        <v>0.294763960751879</v>
      </c>
      <c r="N5" s="1">
        <f>$N$2*360*$D$37*SQRT(C5*1)/$E$37</f>
        <v>10999.3492180352</v>
      </c>
      <c r="O5" s="1">
        <f>N5-$N$4</f>
        <v>0.393018614335233</v>
      </c>
      <c r="Q5" s="26">
        <v>3.35591774090949</v>
      </c>
    </row>
    <row r="6" spans="1:17">
      <c r="A6" s="25">
        <f>'H2O Calculations'!A10</f>
        <v>0.2</v>
      </c>
      <c r="B6" s="26">
        <f>'Calculo de Dk Acetona'!B7</f>
        <v>1.00212093080893</v>
      </c>
      <c r="C6" s="26">
        <f>'Calculo de Dk Acetona'!D7</f>
        <v>3.35630505721588</v>
      </c>
      <c r="D6" s="1">
        <f>$D$2*360*$D$37*SQRT(C6*1)/$E$37</f>
        <v>2749.93560748969</v>
      </c>
      <c r="E6" s="1">
        <f>D6-$D$4</f>
        <v>0.196557634470992</v>
      </c>
      <c r="F6" s="1">
        <f>$F$2*360*$D$37*SQRT(C6*1)/$E$37</f>
        <v>5499.87121497938</v>
      </c>
      <c r="G6" s="1">
        <f>F6-$F$4</f>
        <v>0.393115268941983</v>
      </c>
      <c r="H6" s="1">
        <f>$H$2*360*$D$37*SQRT(C6*1)/$E$37</f>
        <v>6731.84236713476</v>
      </c>
      <c r="I6" s="1">
        <f>H6-$H$4</f>
        <v>0.481173089184267</v>
      </c>
      <c r="J6" s="1">
        <f>$J$2*360*$D$37*SQRT(C6*1)/$E$37</f>
        <v>7424.82614022217</v>
      </c>
      <c r="K6" s="1">
        <f>J6-$J$4</f>
        <v>0.530705613072314</v>
      </c>
      <c r="L6" s="1">
        <f>$L$2*360*$D$37*SQRT(C6*1)/$E$37</f>
        <v>8249.80682246907</v>
      </c>
      <c r="M6" s="1">
        <f>L6-$L$4</f>
        <v>0.589672903412065</v>
      </c>
      <c r="N6" s="1">
        <f>$N$2*360*$D$37*SQRT(C6*1)/$E$37</f>
        <v>10999.7424299588</v>
      </c>
      <c r="O6" s="1">
        <f>N6-$N$4</f>
        <v>0.786230537883966</v>
      </c>
      <c r="Q6" s="26">
        <v>3.35675044690802</v>
      </c>
    </row>
    <row r="7" spans="1:17">
      <c r="A7" s="25">
        <f>'H2O Calculations'!A11</f>
        <v>0.3</v>
      </c>
      <c r="B7" s="26">
        <f>'Calculo de Dk Acetona'!B8</f>
        <v>1.00291312290228</v>
      </c>
      <c r="C7" s="26">
        <f>'Calculo de Dk Acetona'!D8</f>
        <v>3.35654513775845</v>
      </c>
      <c r="D7" s="1">
        <f>$D$2*360*$D$37*SQRT(C7*1)/$E$37</f>
        <v>2750.03395883373</v>
      </c>
      <c r="E7" s="1">
        <f>D7-$D$4</f>
        <v>0.294908978511558</v>
      </c>
      <c r="F7" s="1">
        <f>$F$2*360*$D$37*SQRT(C7*1)/$E$37</f>
        <v>5500.06791766746</v>
      </c>
      <c r="G7" s="1">
        <f>F7-$F$4</f>
        <v>0.589817957023115</v>
      </c>
      <c r="H7" s="1">
        <f>$H$2*360*$D$37*SQRT(C7*1)/$E$37</f>
        <v>6732.08313122497</v>
      </c>
      <c r="I7" s="1">
        <f>H7-$H$4</f>
        <v>0.721937179395354</v>
      </c>
      <c r="J7" s="1">
        <f>$J$2*360*$D$37*SQRT(C7*1)/$E$37</f>
        <v>7425.09168885107</v>
      </c>
      <c r="K7" s="1">
        <f>J7-$J$4</f>
        <v>0.796254241980932</v>
      </c>
      <c r="L7" s="1">
        <f>$L$2*360*$D$37*SQRT(C7*1)/$E$37</f>
        <v>8250.10187650119</v>
      </c>
      <c r="M7" s="1">
        <f>L7-$L$4</f>
        <v>0.884726935535582</v>
      </c>
      <c r="N7" s="1">
        <f>$N$2*360*$D$37*SQRT(C7*1)/$E$37</f>
        <v>11000.1358353349</v>
      </c>
      <c r="O7" s="1">
        <f>N7-$N$4</f>
        <v>1.17963591404623</v>
      </c>
      <c r="Q7" s="26">
        <v>3.36516194635399</v>
      </c>
    </row>
    <row r="8" spans="1:17">
      <c r="A8" s="25">
        <f>'H2O Calculations'!A12</f>
        <v>0.4</v>
      </c>
      <c r="B8" s="26">
        <f>'Calculo de Dk Acetona'!B9</f>
        <v>1.00370573318929</v>
      </c>
      <c r="C8" s="26">
        <f>'Calculo de Dk Acetona'!D9</f>
        <v>3.35678534503816</v>
      </c>
      <c r="D8" s="1">
        <f>$D$2*360*$D$37*SQRT(C8*1)/$E$37</f>
        <v>2750.13235857681</v>
      </c>
      <c r="E8" s="1">
        <f>D8-$D$4</f>
        <v>0.393308721595531</v>
      </c>
      <c r="F8" s="1">
        <f>$F$2*360*$D$37*SQRT(C8*1)/$E$37</f>
        <v>5500.26471715363</v>
      </c>
      <c r="G8" s="1">
        <f>F8-$F$4</f>
        <v>0.786617443191062</v>
      </c>
      <c r="H8" s="1">
        <f>$H$2*360*$D$37*SQRT(C8*1)/$E$37</f>
        <v>6732.32401379604</v>
      </c>
      <c r="I8" s="1">
        <f>H8-$H$4</f>
        <v>0.962819750466224</v>
      </c>
      <c r="J8" s="1">
        <f>$J$2*360*$D$37*SQRT(C8*1)/$E$37</f>
        <v>7425.3573681574</v>
      </c>
      <c r="K8" s="1">
        <f>J8-$J$4</f>
        <v>1.06193354830884</v>
      </c>
      <c r="L8" s="1">
        <f>$L$2*360*$D$37*SQRT(C8*1)/$E$37</f>
        <v>8250.39707573045</v>
      </c>
      <c r="M8" s="1">
        <f>L8-$L$4</f>
        <v>1.17992616478841</v>
      </c>
      <c r="N8" s="1">
        <f>$N$2*360*$D$37*SQRT(C8*1)/$E$37</f>
        <v>11000.5294343073</v>
      </c>
      <c r="O8" s="1">
        <f>N8-$N$4</f>
        <v>1.57323488638212</v>
      </c>
      <c r="Q8" s="26">
        <v>3.45801239997332</v>
      </c>
    </row>
    <row r="9" spans="1:17">
      <c r="A9" s="25">
        <f>'H2O Calculations'!A13</f>
        <v>0.5</v>
      </c>
      <c r="B9" s="26">
        <f>'Calculo de Dk Acetona'!B10</f>
        <v>1.00449876200117</v>
      </c>
      <c r="C9" s="26">
        <f>'Calculo de Dk Acetona'!D10</f>
        <v>3.35702567915539</v>
      </c>
      <c r="D9" s="1">
        <f>$D$2*360*$D$37*SQRT(C9*1)/$E$37</f>
        <v>2750.23080675486</v>
      </c>
      <c r="E9" s="1">
        <f>D9-$D$4</f>
        <v>0.491756899645679</v>
      </c>
      <c r="F9" s="1">
        <f>$F$2*360*$D$37*SQRT(C9*1)/$E$37</f>
        <v>5500.46161350973</v>
      </c>
      <c r="G9" s="1">
        <f>F9-$F$4</f>
        <v>0.983513799291359</v>
      </c>
      <c r="H9" s="1">
        <f>$H$2*360*$D$37*SQRT(C9*1)/$E$37</f>
        <v>6732.56501493591</v>
      </c>
      <c r="I9" s="1">
        <f>H9-$H$4</f>
        <v>1.20382089033228</v>
      </c>
      <c r="J9" s="1">
        <f>$J$2*360*$D$37*SQRT(C9*1)/$E$37</f>
        <v>7425.62317823814</v>
      </c>
      <c r="K9" s="1">
        <f>J9-$J$4</f>
        <v>1.32774362904456</v>
      </c>
      <c r="L9" s="1">
        <f>$L$2*360*$D$37*SQRT(C9*1)/$E$37</f>
        <v>8250.6924202646</v>
      </c>
      <c r="M9" s="1">
        <f>L9-$L$4</f>
        <v>1.4752706989384</v>
      </c>
      <c r="N9" s="1">
        <f>$N$2*360*$D$37*SQRT(C9*1)/$E$37</f>
        <v>11000.9232270195</v>
      </c>
      <c r="O9" s="1">
        <f>N9-$N$4</f>
        <v>1.96702759858272</v>
      </c>
      <c r="Q9" s="26"/>
    </row>
    <row r="10" spans="1:17">
      <c r="A10" s="25">
        <f>'H2O Calculations'!A14</f>
        <v>0.6</v>
      </c>
      <c r="B10" s="26">
        <f>'Calculo de Dk Acetona'!B11</f>
        <v>1.00529220966952</v>
      </c>
      <c r="C10" s="26">
        <f>'Calculo de Dk Acetona'!D11</f>
        <v>3.35726614021064</v>
      </c>
      <c r="D10" s="1">
        <f>$D$2*360*$D$37*SQRT(C10*1)/$E$37</f>
        <v>2750.32930340384</v>
      </c>
      <c r="E10" s="1">
        <f>D10-$D$4</f>
        <v>0.590253548623423</v>
      </c>
      <c r="F10" s="1">
        <f>$F$2*360*$D$37*SQRT(C10*1)/$E$37</f>
        <v>5500.65860680768</v>
      </c>
      <c r="G10" s="1">
        <f>F10-$F$4</f>
        <v>1.18050709724685</v>
      </c>
      <c r="H10" s="1">
        <f>$H$2*360*$D$37*SQRT(C10*1)/$E$37</f>
        <v>6732.80613473261</v>
      </c>
      <c r="I10" s="1">
        <f>H10-$H$4</f>
        <v>1.44494068702988</v>
      </c>
      <c r="J10" s="1">
        <f>$J$2*360*$D$37*SQRT(C10*1)/$E$37</f>
        <v>7425.88911919038</v>
      </c>
      <c r="K10" s="1">
        <f>J10-$J$4</f>
        <v>1.59368458128392</v>
      </c>
      <c r="L10" s="1">
        <f>$L$2*360*$D$37*SQRT(C10*1)/$E$37</f>
        <v>8250.98791021153</v>
      </c>
      <c r="M10" s="1">
        <f>L10-$L$4</f>
        <v>1.77076064587163</v>
      </c>
      <c r="N10" s="1">
        <f>$N$2*360*$D$37*SQRT(C10*1)/$E$37</f>
        <v>11001.3172136154</v>
      </c>
      <c r="O10" s="1">
        <f>N10-$N$4</f>
        <v>2.36101419449369</v>
      </c>
      <c r="Q10" s="26"/>
    </row>
    <row r="11" spans="1:17">
      <c r="A11" s="25">
        <f>'H2O Calculations'!A15</f>
        <v>0.7</v>
      </c>
      <c r="B11" s="26">
        <f>'Calculo de Dk Acetona'!B12</f>
        <v>1.00608607652627</v>
      </c>
      <c r="C11" s="26">
        <f>'Calculo de Dk Acetona'!D12</f>
        <v>3.35750672830448</v>
      </c>
      <c r="D11" s="1">
        <f>$D$2*360*$D$37*SQRT(C11*1)/$E$37</f>
        <v>2750.42784855974</v>
      </c>
      <c r="E11" s="1">
        <f>D11-$D$4</f>
        <v>0.688798704523379</v>
      </c>
      <c r="F11" s="1">
        <f>$F$2*360*$D$37*SQRT(C11*1)/$E$37</f>
        <v>5500.85569711948</v>
      </c>
      <c r="G11" s="1">
        <f>F11-$F$4</f>
        <v>1.37759740904676</v>
      </c>
      <c r="H11" s="1">
        <f>$H$2*360*$D$37*SQRT(C11*1)/$E$37</f>
        <v>6733.04737327425</v>
      </c>
      <c r="I11" s="1">
        <f>H11-$H$4</f>
        <v>1.6861792286727</v>
      </c>
      <c r="J11" s="1">
        <f>$J$2*360*$D$37*SQRT(C11*1)/$E$37</f>
        <v>7426.15519111131</v>
      </c>
      <c r="K11" s="1">
        <f>J11-$J$4</f>
        <v>1.85975650221371</v>
      </c>
      <c r="L11" s="1">
        <f>$L$2*360*$D$37*SQRT(C11*1)/$E$37</f>
        <v>8251.28354567923</v>
      </c>
      <c r="M11" s="1">
        <f>L11-$L$4</f>
        <v>2.06639611357059</v>
      </c>
      <c r="N11" s="1">
        <f>$N$2*360*$D$37*SQRT(C11*1)/$E$37</f>
        <v>11001.711394239</v>
      </c>
      <c r="O11" s="1">
        <f>N11-$N$4</f>
        <v>2.75519481809351</v>
      </c>
      <c r="Q11" s="26"/>
    </row>
    <row r="12" spans="1:17">
      <c r="A12" s="25">
        <f>'H2O Calculations'!A16</f>
        <v>0.8</v>
      </c>
      <c r="B12" s="26">
        <f>'Calculo de Dk Acetona'!B13</f>
        <v>1.00688036290369</v>
      </c>
      <c r="C12" s="26">
        <f>'Calculo de Dk Acetona'!D13</f>
        <v>3.35774744353763</v>
      </c>
      <c r="D12" s="1">
        <f>$D$2*360*$D$37*SQRT(C12*1)/$E$37</f>
        <v>2750.5264422586</v>
      </c>
      <c r="E12" s="1">
        <f>D12-$D$4</f>
        <v>0.787392403376543</v>
      </c>
      <c r="F12" s="1">
        <f>$F$2*360*$D$37*SQRT(C12*1)/$E$37</f>
        <v>5501.05288451719</v>
      </c>
      <c r="G12" s="1">
        <f>F12-$F$4</f>
        <v>1.57478480675309</v>
      </c>
      <c r="H12" s="1">
        <f>$H$2*360*$D$37*SQRT(C12*1)/$E$37</f>
        <v>6733.28873064904</v>
      </c>
      <c r="I12" s="1">
        <f>H12-$H$4</f>
        <v>1.92753660346534</v>
      </c>
      <c r="J12" s="1">
        <f>$J$2*360*$D$37*SQRT(C12*1)/$E$37</f>
        <v>7426.42139409821</v>
      </c>
      <c r="K12" s="1">
        <f>J12-$J$4</f>
        <v>2.12595948911621</v>
      </c>
      <c r="L12" s="1">
        <f>$L$2*360*$D$37*SQRT(C12*1)/$E$37</f>
        <v>8251.57932677579</v>
      </c>
      <c r="M12" s="1">
        <f>L12-$L$4</f>
        <v>2.36217721013054</v>
      </c>
      <c r="N12" s="1">
        <f>$N$2*360*$D$37*SQRT(C12*1)/$E$37</f>
        <v>11002.1057690344</v>
      </c>
      <c r="O12" s="1">
        <f>N12-$N$4</f>
        <v>3.14956961350617</v>
      </c>
      <c r="Q12" s="26"/>
    </row>
    <row r="13" spans="1:17">
      <c r="A13" s="25">
        <f>'H2O Calculations'!A17</f>
        <v>0.9</v>
      </c>
      <c r="B13" s="26">
        <f>'Calculo de Dk Acetona'!B14</f>
        <v>1.00767506913441</v>
      </c>
      <c r="C13" s="26">
        <f>'Calculo de Dk Acetona'!D14</f>
        <v>3.35798828601089</v>
      </c>
      <c r="D13" s="1">
        <f>$D$2*360*$D$37*SQRT(C13*1)/$E$37</f>
        <v>2750.62508453647</v>
      </c>
      <c r="E13" s="1">
        <f>D13-$D$4</f>
        <v>0.886034681248475</v>
      </c>
      <c r="F13" s="1">
        <f>$F$2*360*$D$37*SQRT(C13*1)/$E$37</f>
        <v>5501.25016907294</v>
      </c>
      <c r="G13" s="1">
        <f>F13-$F$4</f>
        <v>1.77206936249695</v>
      </c>
      <c r="H13" s="1">
        <f>$H$2*360*$D$37*SQRT(C13*1)/$E$37</f>
        <v>6733.53020694527</v>
      </c>
      <c r="I13" s="1">
        <f>H13-$H$4</f>
        <v>2.16901289969519</v>
      </c>
      <c r="J13" s="1">
        <f>$J$2*360*$D$37*SQRT(C13*1)/$E$37</f>
        <v>7426.68772824846</v>
      </c>
      <c r="K13" s="1">
        <f>J13-$J$4</f>
        <v>2.39229363937102</v>
      </c>
      <c r="L13" s="1">
        <f>$L$2*360*$D$37*SQRT(C13*1)/$E$37</f>
        <v>8251.8752536094</v>
      </c>
      <c r="M13" s="1">
        <f>L13-$L$4</f>
        <v>2.65810404374497</v>
      </c>
      <c r="N13" s="1">
        <f>$N$2*360*$D$37*SQRT(C13*1)/$E$37</f>
        <v>11002.5003381459</v>
      </c>
      <c r="O13" s="1">
        <f>N13-$N$4</f>
        <v>3.5441387249939</v>
      </c>
      <c r="Q13" s="26"/>
    </row>
    <row r="14" spans="1:15">
      <c r="A14" s="25">
        <f>'H2O Calculations'!A18</f>
        <v>1</v>
      </c>
      <c r="B14" s="26">
        <f>'Calculo de Dk Acetona'!B15</f>
        <v>1.00847019555143</v>
      </c>
      <c r="C14" s="26">
        <f>'Calculo de Dk Acetona'!D15</f>
        <v>3.35822925582517</v>
      </c>
      <c r="D14" s="1">
        <f>$D$2*360*$D$37*SQRT(C14*1)/$E$37</f>
        <v>2750.72377542946</v>
      </c>
      <c r="E14" s="1">
        <f>D14-$D$4</f>
        <v>0.984725574245203</v>
      </c>
      <c r="F14" s="1">
        <f>$F$2*360*$D$37*SQRT(C14*1)/$E$37</f>
        <v>5501.44755085893</v>
      </c>
      <c r="G14" s="1">
        <f>F14-$F$4</f>
        <v>1.96945114849041</v>
      </c>
      <c r="H14" s="1">
        <f>$H$2*360*$D$37*SQRT(C14*1)/$E$37</f>
        <v>6733.77180225133</v>
      </c>
      <c r="I14" s="1">
        <f>H14-$H$4</f>
        <v>2.41060820575149</v>
      </c>
      <c r="J14" s="1">
        <f>$J$2*360*$D$37*SQRT(C14*1)/$E$37</f>
        <v>7426.95419365956</v>
      </c>
      <c r="K14" s="1">
        <f>J14-$J$4</f>
        <v>2.65875905046232</v>
      </c>
      <c r="L14" s="1">
        <f>$L$2*360*$D$37*SQRT(C14*1)/$E$37</f>
        <v>8252.17132628839</v>
      </c>
      <c r="M14" s="1">
        <f>L14-$L$4</f>
        <v>2.95417672273652</v>
      </c>
      <c r="N14" s="1">
        <f>$N$2*360*$D$37*SQRT(C14*1)/$E$37</f>
        <v>11002.8951017179</v>
      </c>
      <c r="O14" s="1">
        <f>N14-$N$4</f>
        <v>3.93890229698081</v>
      </c>
    </row>
    <row r="15" spans="1:15">
      <c r="A15" s="25">
        <f>'H2O Calculations'!A19</f>
        <v>2</v>
      </c>
      <c r="B15" s="26">
        <f>'Calculo de Dk Acetona'!B16</f>
        <v>1.01644464347673</v>
      </c>
      <c r="C15" s="26">
        <f>'Calculo de Dk Acetona'!D16</f>
        <v>3.36064598000191</v>
      </c>
      <c r="D15" s="1">
        <f>$D$2*360*$D$37*SQRT(C15*1)/$E$37</f>
        <v>2751.71336615964</v>
      </c>
      <c r="E15" s="1">
        <f>D15-$D$4</f>
        <v>1.97431630442361</v>
      </c>
      <c r="F15" s="1">
        <f>$F$2*360*$D$37*SQRT(C15*1)/$E$37</f>
        <v>5503.42673231929</v>
      </c>
      <c r="G15" s="1">
        <f>F15-$F$4</f>
        <v>3.94863260884722</v>
      </c>
      <c r="H15" s="1">
        <f>$H$2*360*$D$37*SQRT(C15*1)/$E$37</f>
        <v>6736.1943203588</v>
      </c>
      <c r="I15" s="1">
        <f>H15-$H$4</f>
        <v>4.83312631322769</v>
      </c>
      <c r="J15" s="1">
        <f>$J$2*360*$D$37*SQRT(C15*1)/$E$37</f>
        <v>7429.62608863104</v>
      </c>
      <c r="K15" s="1">
        <f>J15-$J$4</f>
        <v>5.33065402194279</v>
      </c>
      <c r="L15" s="1">
        <f>$L$2*360*$D$37*SQRT(C15*1)/$E$37</f>
        <v>8255.14009847893</v>
      </c>
      <c r="M15" s="1">
        <f>L15-$L$4</f>
        <v>5.92294891327037</v>
      </c>
      <c r="N15" s="1">
        <f>$N$2*360*$D$37*SQRT(C15*1)/$E$37</f>
        <v>11006.8534646386</v>
      </c>
      <c r="O15" s="1">
        <f>N15-$N$4</f>
        <v>7.89726521769444</v>
      </c>
    </row>
    <row r="16" spans="1:15">
      <c r="A16" s="25">
        <f>'H2O Calculations'!A20</f>
        <v>3</v>
      </c>
      <c r="B16" s="26">
        <f>'Calculo de Dk Acetona'!B17</f>
        <v>1.024461478944</v>
      </c>
      <c r="C16" s="26">
        <f>'Calculo de Dk Acetona'!D17</f>
        <v>3.36307555008328</v>
      </c>
      <c r="D16" s="1">
        <f>$D$2*360*$D$37*SQRT(C16*1)/$E$37</f>
        <v>2752.70785838386</v>
      </c>
      <c r="E16" s="1">
        <f>D16-$D$4</f>
        <v>2.96880852863887</v>
      </c>
      <c r="F16" s="1">
        <f>$F$2*360*$D$37*SQRT(C16*1)/$E$37</f>
        <v>5505.41571676772</v>
      </c>
      <c r="G16" s="1">
        <f>F16-$F$4</f>
        <v>5.93761705727775</v>
      </c>
      <c r="H16" s="1">
        <f>$H$2*360*$D$37*SQRT(C16*1)/$E$37</f>
        <v>6738.62883732368</v>
      </c>
      <c r="I16" s="1">
        <f>H16-$H$4</f>
        <v>7.26764327810724</v>
      </c>
      <c r="J16" s="1">
        <f>$J$2*360*$D$37*SQRT(C16*1)/$E$37</f>
        <v>7432.31121763642</v>
      </c>
      <c r="K16" s="1">
        <f>J16-$J$4</f>
        <v>8.0157830273256</v>
      </c>
      <c r="L16" s="1">
        <f>$L$2*360*$D$37*SQRT(C16*1)/$E$37</f>
        <v>8258.12357515157</v>
      </c>
      <c r="M16" s="1">
        <f>L16-$L$4</f>
        <v>8.90642558591753</v>
      </c>
      <c r="N16" s="1">
        <f>$N$2*360*$D$37*SQRT(C16*1)/$E$37</f>
        <v>11010.8314335354</v>
      </c>
      <c r="O16" s="1">
        <f>N16-$N$4</f>
        <v>11.8752341145555</v>
      </c>
    </row>
    <row r="17" spans="1:17">
      <c r="A17" s="25">
        <f>'H2O Calculations'!A21</f>
        <v>4</v>
      </c>
      <c r="B17" s="26">
        <f>'Calculo de Dk Acetona'!B18</f>
        <v>1.03252104081523</v>
      </c>
      <c r="C17" s="26">
        <f>'Calculo de Dk Acetona'!D18</f>
        <v>3.36551806876427</v>
      </c>
      <c r="D17" s="1">
        <f>$D$2*360*$D$37*SQRT(C17*1)/$E$37</f>
        <v>2753.70728880478</v>
      </c>
      <c r="E17" s="1">
        <f>D17-$D$4</f>
        <v>3.96823894955969</v>
      </c>
      <c r="F17" s="1">
        <f>$F$2*360*$D$37*SQRT(C17*1)/$E$37</f>
        <v>5507.41457760956</v>
      </c>
      <c r="G17" s="1">
        <f>F17-$F$4</f>
        <v>7.93647789911938</v>
      </c>
      <c r="H17" s="1">
        <f>$H$2*360*$D$37*SQRT(C17*1)/$E$37</f>
        <v>6741.0754429941</v>
      </c>
      <c r="I17" s="1">
        <f>H17-$H$4</f>
        <v>9.71424894852134</v>
      </c>
      <c r="J17" s="1">
        <f>$J$2*360*$D$37*SQRT(C17*1)/$E$37</f>
        <v>7435.0096797729</v>
      </c>
      <c r="K17" s="1">
        <f>J17-$J$4</f>
        <v>10.714245163811</v>
      </c>
      <c r="L17" s="1">
        <f>$L$2*360*$D$37*SQRT(C17*1)/$E$37</f>
        <v>8261.12186641434</v>
      </c>
      <c r="M17" s="1">
        <f>L17-$L$4</f>
        <v>11.9047168486795</v>
      </c>
      <c r="N17" s="1">
        <f>$N$2*360*$D$37*SQRT(C17*1)/$E$37</f>
        <v>11014.8291552191</v>
      </c>
      <c r="O17" s="1">
        <f>N17-$N$4</f>
        <v>15.8729557982388</v>
      </c>
      <c r="Q17" s="26"/>
    </row>
    <row r="18" spans="1:17">
      <c r="A18" s="25">
        <f>'H2O Calculations'!A22</f>
        <v>5</v>
      </c>
      <c r="B18" s="26">
        <f>'Calculo de Dk Acetona'!B19</f>
        <v>1.04062367157405</v>
      </c>
      <c r="C18" s="26">
        <f>'Calculo de Dk Acetona'!D19</f>
        <v>3.36797363983746</v>
      </c>
      <c r="D18" s="1">
        <f>$D$2*360*$D$37*SQRT(C18*1)/$E$37</f>
        <v>2754.71169449424</v>
      </c>
      <c r="E18" s="1">
        <f>D18-$D$4</f>
        <v>4.97264463902229</v>
      </c>
      <c r="F18" s="1">
        <f>$F$2*360*$D$37*SQRT(C18*1)/$E$37</f>
        <v>5509.42338898848</v>
      </c>
      <c r="G18" s="1">
        <f>F18-$F$4</f>
        <v>9.94528927804458</v>
      </c>
      <c r="H18" s="1">
        <f>$H$2*360*$D$37*SQRT(C18*1)/$E$37</f>
        <v>6743.5342281219</v>
      </c>
      <c r="I18" s="1">
        <f>H18-$H$4</f>
        <v>12.1730340763261</v>
      </c>
      <c r="J18" s="1">
        <f>$J$2*360*$D$37*SQRT(C18*1)/$E$37</f>
        <v>7437.72157513445</v>
      </c>
      <c r="K18" s="1">
        <f>J18-$J$4</f>
        <v>13.4261405253601</v>
      </c>
      <c r="L18" s="1">
        <f>$L$2*360*$D$37*SQRT(C18*1)/$E$37</f>
        <v>8264.13508348272</v>
      </c>
      <c r="M18" s="1">
        <f>L18-$L$4</f>
        <v>14.917933917066</v>
      </c>
      <c r="N18" s="1">
        <f>$N$2*360*$D$37*SQRT(C18*1)/$E$37</f>
        <v>11018.846777977</v>
      </c>
      <c r="O18" s="1">
        <f>N18-$N$4</f>
        <v>19.8905785560892</v>
      </c>
      <c r="Q18" s="26"/>
    </row>
    <row r="19" spans="1:17">
      <c r="A19" s="25">
        <f>'H2O Calculations'!A23</f>
        <v>6</v>
      </c>
      <c r="B19" s="26">
        <f>'Calculo de Dk Acetona'!B20</f>
        <v>1.04876971737426</v>
      </c>
      <c r="C19" s="26">
        <f>'Calculo de Dk Acetona'!D20</f>
        <v>3.37044236820771</v>
      </c>
      <c r="D19" s="1">
        <f>$D$2*360*$D$37*SQRT(C19*1)/$E$37</f>
        <v>2755.72111289793</v>
      </c>
      <c r="E19" s="1">
        <f>D19-$D$4</f>
        <v>5.98206304270752</v>
      </c>
      <c r="F19" s="1">
        <f>$F$2*360*$D$37*SQRT(C19*1)/$E$37</f>
        <v>5511.44222579585</v>
      </c>
      <c r="G19" s="1">
        <f>F19-$F$4</f>
        <v>11.964126085415</v>
      </c>
      <c r="H19" s="1">
        <f>$H$2*360*$D$37*SQRT(C19*1)/$E$37</f>
        <v>6746.00528437413</v>
      </c>
      <c r="I19" s="1">
        <f>H19-$H$4</f>
        <v>14.6440903285484</v>
      </c>
      <c r="J19" s="1">
        <f>$J$2*360*$D$37*SQRT(C19*1)/$E$37</f>
        <v>7440.4470048244</v>
      </c>
      <c r="K19" s="1">
        <f>J19-$J$4</f>
        <v>16.151570215311</v>
      </c>
      <c r="L19" s="1">
        <f>$L$2*360*$D$37*SQRT(C19*1)/$E$37</f>
        <v>8267.16333869378</v>
      </c>
      <c r="M19" s="1">
        <f>L19-$L$4</f>
        <v>17.9461891281226</v>
      </c>
      <c r="N19" s="1">
        <f>$N$2*360*$D$37*SQRT(C19*1)/$E$37</f>
        <v>11022.8844515917</v>
      </c>
      <c r="O19" s="1">
        <f>N19-$N$4</f>
        <v>23.9282521708301</v>
      </c>
      <c r="Q19" s="26"/>
    </row>
    <row r="20" spans="1:17">
      <c r="A20" s="25">
        <f>'H2O Calculations'!A24</f>
        <v>7</v>
      </c>
      <c r="B20" s="26">
        <f>'Calculo de Dk Acetona'!B21</f>
        <v>1.05695952808908</v>
      </c>
      <c r="C20" s="26">
        <f>'Calculo de Dk Acetona'!D21</f>
        <v>3.37292435990705</v>
      </c>
      <c r="D20" s="1">
        <f>$D$2*360*$D$37*SQRT(C20*1)/$E$37</f>
        <v>2756.7355818401</v>
      </c>
      <c r="E20" s="1">
        <f>D20-$D$4</f>
        <v>6.99653198488068</v>
      </c>
      <c r="F20" s="1">
        <f>$F$2*360*$D$37*SQRT(C20*1)/$E$37</f>
        <v>5513.4711636802</v>
      </c>
      <c r="G20" s="1">
        <f>F20-$F$4</f>
        <v>13.9930639697614</v>
      </c>
      <c r="H20" s="1">
        <f>$H$2*360*$D$37*SQRT(C20*1)/$E$37</f>
        <v>6748.48870434456</v>
      </c>
      <c r="I20" s="1">
        <f>H20-$H$4</f>
        <v>17.1275102989875</v>
      </c>
      <c r="J20" s="1">
        <f>$J$2*360*$D$37*SQRT(C20*1)/$E$37</f>
        <v>7443.18607096827</v>
      </c>
      <c r="K20" s="1">
        <f>J20-$J$4</f>
        <v>18.8906363591786</v>
      </c>
      <c r="L20" s="1">
        <f>$L$2*360*$D$37*SQRT(C20*1)/$E$37</f>
        <v>8270.2067455203</v>
      </c>
      <c r="M20" s="1">
        <f>L20-$L$4</f>
        <v>20.9895959546429</v>
      </c>
      <c r="N20" s="1">
        <f>$N$2*360*$D$37*SQRT(C20*1)/$E$37</f>
        <v>11026.9423273604</v>
      </c>
      <c r="O20" s="1">
        <f>N20-$N$4</f>
        <v>27.9861279395227</v>
      </c>
      <c r="Q20" s="26"/>
    </row>
    <row r="21" spans="1:17">
      <c r="A21" s="25">
        <f>'H2O Calculations'!A25</f>
        <v>8</v>
      </c>
      <c r="B21" s="26">
        <f>'Calculo de Dk Acetona'!B22</f>
        <v>1.06519345736129</v>
      </c>
      <c r="C21" s="26">
        <f>'Calculo de Dk Acetona'!D22</f>
        <v>3.37541972210994</v>
      </c>
      <c r="D21" s="1">
        <f>$D$2*360*$D$37*SQRT(C21*1)/$E$37</f>
        <v>2757.75513952843</v>
      </c>
      <c r="E21" s="1">
        <f>D21-$D$4</f>
        <v>8.01608967321499</v>
      </c>
      <c r="F21" s="1">
        <f>$F$2*360*$D$37*SQRT(C21*1)/$E$37</f>
        <v>5515.51027905687</v>
      </c>
      <c r="G21" s="1">
        <f>F21-$F$4</f>
        <v>16.03217934643</v>
      </c>
      <c r="H21" s="1">
        <f>$H$2*360*$D$37*SQRT(C21*1)/$E$37</f>
        <v>6750.98458156561</v>
      </c>
      <c r="I21" s="1">
        <f>H21-$H$4</f>
        <v>19.6233875200296</v>
      </c>
      <c r="J21" s="1">
        <f>$J$2*360*$D$37*SQRT(C21*1)/$E$37</f>
        <v>7445.93887672677</v>
      </c>
      <c r="K21" s="1">
        <f>J21-$J$4</f>
        <v>21.64344211768</v>
      </c>
      <c r="L21" s="1">
        <f>$L$2*360*$D$37*SQRT(C21*1)/$E$37</f>
        <v>8273.2654185853</v>
      </c>
      <c r="M21" s="1">
        <f>L21-$L$4</f>
        <v>24.0482690196441</v>
      </c>
      <c r="N21" s="1">
        <f>$N$2*360*$D$37*SQRT(C21*1)/$E$37</f>
        <v>11031.0205581137</v>
      </c>
      <c r="O21" s="1">
        <f>N21-$N$4</f>
        <v>32.06435869286</v>
      </c>
      <c r="Q21" s="26"/>
    </row>
    <row r="22" spans="1:17">
      <c r="A22" s="25">
        <f>'H2O Calculations'!A26</f>
        <v>9</v>
      </c>
      <c r="B22" s="26">
        <f>'Calculo de Dk Acetona'!B23</f>
        <v>1.07347186265408</v>
      </c>
      <c r="C22" s="26">
        <f>'Calculo de Dk Acetona'!D23</f>
        <v>3.37792856314864</v>
      </c>
      <c r="D22" s="1">
        <f>$D$2*360*$D$37*SQRT(C22*1)/$E$37</f>
        <v>2758.7798245589</v>
      </c>
      <c r="E22" s="1">
        <f>D22-$D$4</f>
        <v>9.04077470367929</v>
      </c>
      <c r="F22" s="1">
        <f>$F$2*360*$D$37*SQRT(C22*1)/$E$37</f>
        <v>5517.5596491178</v>
      </c>
      <c r="G22" s="1">
        <f>F22-$F$4</f>
        <v>18.0815494073586</v>
      </c>
      <c r="H22" s="1">
        <f>$H$2*360*$D$37*SQRT(C22*1)/$E$37</f>
        <v>6753.49301052018</v>
      </c>
      <c r="I22" s="1">
        <f>H22-$H$4</f>
        <v>22.1318164746062</v>
      </c>
      <c r="J22" s="1">
        <f>$J$2*360*$D$37*SQRT(C22*1)/$E$37</f>
        <v>7448.70552630903</v>
      </c>
      <c r="K22" s="1">
        <f>J22-$J$4</f>
        <v>24.4100916999332</v>
      </c>
      <c r="L22" s="1">
        <f>$L$2*360*$D$37*SQRT(C22*1)/$E$37</f>
        <v>8276.33947367669</v>
      </c>
      <c r="M22" s="1">
        <f>L22-$L$4</f>
        <v>27.1223241110365</v>
      </c>
      <c r="N22" s="1">
        <f>$N$2*360*$D$37*SQRT(C22*1)/$E$37</f>
        <v>11035.1192982356</v>
      </c>
      <c r="O22" s="1">
        <f>N22-$N$4</f>
        <v>36.1630988147172</v>
      </c>
      <c r="Q22" s="26"/>
    </row>
    <row r="23" spans="1:15">
      <c r="A23" s="25">
        <f>'H2O Calculations'!A27</f>
        <v>10</v>
      </c>
      <c r="B23" s="26">
        <f>'Calculo de Dk Acetona'!B24</f>
        <v>1.08179510530286</v>
      </c>
      <c r="C23" s="26">
        <f>'Calculo de Dk Acetona'!D24</f>
        <v>3.38045099252891</v>
      </c>
      <c r="D23" s="1">
        <f>$D$2*360*$D$37*SQRT(C23*1)/$E$37</f>
        <v>2759.80967592073</v>
      </c>
      <c r="E23" s="1">
        <f>D23-$D$4</f>
        <v>10.0706260655138</v>
      </c>
      <c r="F23" s="1">
        <f>$F$2*360*$D$37*SQRT(C23*1)/$E$37</f>
        <v>5519.61935184147</v>
      </c>
      <c r="G23" s="1">
        <f>F23-$F$4</f>
        <v>20.1412521310276</v>
      </c>
      <c r="H23" s="1">
        <f>$H$2*360*$D$37*SQRT(C23*1)/$E$37</f>
        <v>6756.01408665395</v>
      </c>
      <c r="I23" s="1">
        <f>H23-$H$4</f>
        <v>24.6528926083774</v>
      </c>
      <c r="J23" s="1">
        <f>$J$2*360*$D$37*SQRT(C23*1)/$E$37</f>
        <v>7451.48612498598</v>
      </c>
      <c r="K23" s="1">
        <f>J23-$J$4</f>
        <v>27.1906903768877</v>
      </c>
      <c r="L23" s="1">
        <f>$L$2*360*$D$37*SQRT(C23*1)/$E$37</f>
        <v>8279.4290277622</v>
      </c>
      <c r="M23" s="1">
        <f>L23-$L$4</f>
        <v>30.2118781965419</v>
      </c>
      <c r="N23" s="1">
        <f>$N$2*360*$D$37*SQRT(C23*1)/$E$37</f>
        <v>11039.2387036829</v>
      </c>
      <c r="O23" s="1">
        <f>N23-$N$4</f>
        <v>40.2825042620552</v>
      </c>
    </row>
    <row r="24" spans="1:15">
      <c r="A24" s="25">
        <f>'H2O Calculations'!A28</f>
        <v>20</v>
      </c>
      <c r="B24" s="26">
        <f>'Calculo de Dk Acetona'!B25</f>
        <v>1.16757595664542</v>
      </c>
      <c r="C24" s="26">
        <f>'Calculo de Dk Acetona'!D25</f>
        <v>3.40644760812952</v>
      </c>
      <c r="D24" s="1">
        <f>$D$2*360*$D$37*SQRT(C24*1)/$E$37</f>
        <v>2770.40120692135</v>
      </c>
      <c r="E24" s="1">
        <f>D24-$D$4</f>
        <v>20.6621570661309</v>
      </c>
      <c r="F24" s="1">
        <f>$F$2*360*$D$37*SQRT(C24*1)/$E$37</f>
        <v>5540.8024138427</v>
      </c>
      <c r="G24" s="1">
        <f>F24-$F$4</f>
        <v>41.3243141322619</v>
      </c>
      <c r="H24" s="1">
        <f>$H$2*360*$D$37*SQRT(C24*1)/$E$37</f>
        <v>6781.94215454346</v>
      </c>
      <c r="I24" s="1">
        <f>H24-$H$4</f>
        <v>50.5809604978876</v>
      </c>
      <c r="J24" s="1">
        <f>$J$2*360*$D$37*SQRT(C24*1)/$E$37</f>
        <v>7480.08325868765</v>
      </c>
      <c r="K24" s="1">
        <f>J24-$J$4</f>
        <v>55.7878240785531</v>
      </c>
      <c r="L24" s="1">
        <f>$L$2*360*$D$37*SQRT(C24*1)/$E$37</f>
        <v>8311.20362076405</v>
      </c>
      <c r="M24" s="1">
        <f>L24-$L$4</f>
        <v>61.9864711983937</v>
      </c>
      <c r="N24" s="1">
        <f>$N$2*360*$D$37*SQRT(C24*1)/$E$37</f>
        <v>11081.6048276854</v>
      </c>
      <c r="O24" s="1">
        <f>N24-$N$4</f>
        <v>82.6486282645237</v>
      </c>
    </row>
    <row r="25" spans="1:17">
      <c r="A25" s="25">
        <f>'H2O Calculations'!A29</f>
        <v>30</v>
      </c>
      <c r="B25" s="26">
        <f>'Calculo de Dk Acetona'!B26</f>
        <v>1.2582689037481</v>
      </c>
      <c r="C25" s="26">
        <f>'Calculo de Dk Acetona'!D26</f>
        <v>3.43393287607235</v>
      </c>
      <c r="D25" s="1">
        <f>$D$2*360*$D$37*SQRT(C25*1)/$E$37</f>
        <v>2781.55538400167</v>
      </c>
      <c r="E25" s="1">
        <f>D25-$D$4</f>
        <v>31.8163341464519</v>
      </c>
      <c r="F25" s="1">
        <f>$F$2*360*$D$37*SQRT(C25*1)/$E$37</f>
        <v>5563.11076800334</v>
      </c>
      <c r="G25" s="1">
        <f>F25-$F$4</f>
        <v>63.6326682929039</v>
      </c>
      <c r="H25" s="1">
        <f>$H$2*360*$D$37*SQRT(C25*1)/$E$37</f>
        <v>6809.24758003609</v>
      </c>
      <c r="I25" s="1">
        <f>H25-$H$4</f>
        <v>77.886385990515</v>
      </c>
      <c r="J25" s="1">
        <f>$J$2*360*$D$37*SQRT(C25*1)/$E$37</f>
        <v>7510.19953680451</v>
      </c>
      <c r="K25" s="1">
        <f>J25-$J$4</f>
        <v>85.9041021954217</v>
      </c>
      <c r="L25" s="1">
        <f>$L$2*360*$D$37*SQRT(C25*1)/$E$37</f>
        <v>8344.66615200501</v>
      </c>
      <c r="M25" s="1">
        <f>L25-$L$4</f>
        <v>95.4490024393581</v>
      </c>
      <c r="N25" s="1">
        <f>$N$2*360*$D$37*SQRT(C25*1)/$E$37</f>
        <v>11126.2215360067</v>
      </c>
      <c r="O25" s="1">
        <f>N25-$N$4</f>
        <v>127.265336585808</v>
      </c>
      <c r="Q25" s="26"/>
    </row>
    <row r="26" spans="1:17">
      <c r="A26" s="25">
        <f>'H2O Calculations'!A30</f>
        <v>40</v>
      </c>
      <c r="B26" s="26">
        <f>'Calculo de Dk Acetona'!B27</f>
        <v>1.354308307397</v>
      </c>
      <c r="C26" s="26">
        <f>'Calculo de Dk Acetona'!D27</f>
        <v>3.46303843308299</v>
      </c>
      <c r="D26" s="1">
        <f>$D$2*360*$D$37*SQRT(C26*1)/$E$37</f>
        <v>2793.31855702825</v>
      </c>
      <c r="E26" s="1">
        <f>D26-$D$4</f>
        <v>43.5795071730313</v>
      </c>
      <c r="F26" s="1">
        <f>$F$2*360*$D$37*SQRT(C26*1)/$E$37</f>
        <v>5586.6371140565</v>
      </c>
      <c r="G26" s="1">
        <f>F26-$F$4</f>
        <v>87.1590143460626</v>
      </c>
      <c r="H26" s="1">
        <f>$H$2*360*$D$37*SQRT(C26*1)/$E$37</f>
        <v>6838.04382760516</v>
      </c>
      <c r="I26" s="1">
        <f>H26-$H$4</f>
        <v>106.68263355958</v>
      </c>
      <c r="J26" s="1">
        <f>$J$2*360*$D$37*SQRT(C26*1)/$E$37</f>
        <v>7541.96010397628</v>
      </c>
      <c r="K26" s="1">
        <f>J26-$J$4</f>
        <v>117.664669367185</v>
      </c>
      <c r="L26" s="1">
        <f>$L$2*360*$D$37*SQRT(C26*1)/$E$37</f>
        <v>8379.95567108475</v>
      </c>
      <c r="M26" s="1">
        <f>L26-$L$4</f>
        <v>130.738521519095</v>
      </c>
      <c r="N26" s="1">
        <f>$N$2*360*$D$37*SQRT(C26*1)/$E$37</f>
        <v>11173.274228113</v>
      </c>
      <c r="O26" s="1">
        <f>N26-$N$4</f>
        <v>174.318028692125</v>
      </c>
      <c r="Q26" s="26"/>
    </row>
    <row r="27" spans="1:17">
      <c r="A27" s="25">
        <f>'H2O Calculations'!A31</f>
        <v>50</v>
      </c>
      <c r="B27" s="26">
        <f>'Calculo de Dk Acetona'!B28</f>
        <v>1.45618129589668</v>
      </c>
      <c r="C27" s="26">
        <f>'Calculo de Dk Acetona'!D28</f>
        <v>3.49391190753168</v>
      </c>
      <c r="D27" s="1">
        <f>$D$2*360*$D$37*SQRT(C27*1)/$E$37</f>
        <v>2805.7423423253</v>
      </c>
      <c r="E27" s="1">
        <f>D27-$D$4</f>
        <v>56.0032924700854</v>
      </c>
      <c r="F27" s="1">
        <f>$F$2*360*$D$37*SQRT(C27*1)/$E$37</f>
        <v>5611.48468465061</v>
      </c>
      <c r="G27" s="1">
        <f>F27-$F$4</f>
        <v>112.006584940171</v>
      </c>
      <c r="H27" s="1">
        <f>$H$2*360*$D$37*SQRT(C27*1)/$E$37</f>
        <v>6868.45725401235</v>
      </c>
      <c r="I27" s="1">
        <f>H27-$H$4</f>
        <v>137.096059966769</v>
      </c>
      <c r="J27" s="1">
        <f>$J$2*360*$D$37*SQRT(C27*1)/$E$37</f>
        <v>7575.50432427832</v>
      </c>
      <c r="K27" s="1">
        <f>J27-$J$4</f>
        <v>151.208889669231</v>
      </c>
      <c r="L27" s="1">
        <f>$L$2*360*$D$37*SQRT(C27*1)/$E$37</f>
        <v>8417.22702697591</v>
      </c>
      <c r="M27" s="1">
        <f>L27-$L$4</f>
        <v>168.009877410257</v>
      </c>
      <c r="N27" s="1">
        <f>$N$2*360*$D$37*SQRT(C27*1)/$E$37</f>
        <v>11222.9693693012</v>
      </c>
      <c r="O27" s="1">
        <f>N27-$N$4</f>
        <v>224.013169880342</v>
      </c>
      <c r="Q27" s="26"/>
    </row>
    <row r="28" spans="1:17">
      <c r="A28" s="25">
        <f>'H2O Calculations'!A32</f>
        <v>60</v>
      </c>
      <c r="B28" s="26">
        <f>'Calculo de Dk Acetona'!B29</f>
        <v>1.56443602900819</v>
      </c>
      <c r="C28" s="26">
        <f>'Calculo de Dk Acetona'!D29</f>
        <v>3.52671942388993</v>
      </c>
      <c r="D28" s="1">
        <f>$D$2*360*$D$37*SQRT(C28*1)/$E$37</f>
        <v>2818.88439696805</v>
      </c>
      <c r="E28" s="1">
        <f>D28-$D$4</f>
        <v>69.1453471128348</v>
      </c>
      <c r="F28" s="1">
        <f>$F$2*360*$D$37*SQRT(C28*1)/$E$37</f>
        <v>5637.76879393611</v>
      </c>
      <c r="G28" s="1">
        <f>F28-$F$4</f>
        <v>138.29069422567</v>
      </c>
      <c r="H28" s="1">
        <f>$H$2*360*$D$37*SQRT(C28*1)/$E$37</f>
        <v>6900.6290037778</v>
      </c>
      <c r="I28" s="1">
        <f>H28-$H$4</f>
        <v>169.26780973222</v>
      </c>
      <c r="J28" s="1">
        <f>$J$2*360*$D$37*SQRT(C28*1)/$E$37</f>
        <v>7610.98787181375</v>
      </c>
      <c r="K28" s="1">
        <f>J28-$J$4</f>
        <v>186.692437204655</v>
      </c>
      <c r="L28" s="1">
        <f>$L$2*360*$D$37*SQRT(C28*1)/$E$37</f>
        <v>8456.65319090416</v>
      </c>
      <c r="M28" s="1">
        <f>L28-$L$4</f>
        <v>207.436041338506</v>
      </c>
      <c r="N28" s="1">
        <f>$N$2*360*$D$37*SQRT(C28*1)/$E$37</f>
        <v>11275.5375878722</v>
      </c>
      <c r="O28" s="1">
        <f>N28-$N$4</f>
        <v>276.581388451339</v>
      </c>
      <c r="Q28" s="26"/>
    </row>
    <row r="29" spans="1:17">
      <c r="A29" s="25">
        <f>'H2O Calculations'!A33</f>
        <v>70</v>
      </c>
      <c r="B29" s="26">
        <f>'Calculo de Dk Acetona'!B30</f>
        <v>1.67969156516677</v>
      </c>
      <c r="C29" s="26">
        <f>'Calculo de Dk Acetona'!D30</f>
        <v>3.56164859307469</v>
      </c>
      <c r="D29" s="1">
        <f>$D$2*360*$D$37*SQRT(C29*1)/$E$37</f>
        <v>2832.80933458711</v>
      </c>
      <c r="E29" s="1">
        <f>D29-$D$4</f>
        <v>83.070284731893</v>
      </c>
      <c r="F29" s="1">
        <f>$F$2*360*$D$37*SQRT(C29*1)/$E$37</f>
        <v>5665.61866917422</v>
      </c>
      <c r="G29" s="1">
        <f>F29-$F$4</f>
        <v>166.140569463786</v>
      </c>
      <c r="H29" s="1">
        <f>$H$2*360*$D$37*SQRT(C29*1)/$E$37</f>
        <v>6934.71725106925</v>
      </c>
      <c r="I29" s="1">
        <f>H29-$H$4</f>
        <v>203.356057023674</v>
      </c>
      <c r="J29" s="1">
        <f>$J$2*360*$D$37*SQRT(C29*1)/$E$37</f>
        <v>7648.5852033852</v>
      </c>
      <c r="K29" s="1">
        <f>J29-$J$4</f>
        <v>224.289768776111</v>
      </c>
      <c r="L29" s="1">
        <f>$L$2*360*$D$37*SQRT(C29*1)/$E$37</f>
        <v>8498.42800376134</v>
      </c>
      <c r="M29" s="1">
        <f>L29-$L$4</f>
        <v>249.210854195679</v>
      </c>
      <c r="N29" s="1">
        <f>$N$2*360*$D$37*SQRT(C29*1)/$E$37</f>
        <v>11331.2373383484</v>
      </c>
      <c r="O29" s="1">
        <f>N29-$N$4</f>
        <v>332.281138927572</v>
      </c>
      <c r="Q29" s="26"/>
    </row>
    <row r="30" spans="1:17">
      <c r="A30" s="25">
        <f>'H2O Calculations'!A34</f>
        <v>80</v>
      </c>
      <c r="B30" s="26">
        <f>'Calculo de Dk Acetona'!B31</f>
        <v>1.80264970699805</v>
      </c>
      <c r="C30" s="26">
        <f>'Calculo de Dk Acetona'!D31</f>
        <v>3.59891210233257</v>
      </c>
      <c r="D30" s="1">
        <f>$D$2*360*$D$37*SQRT(C30*1)/$E$37</f>
        <v>2847.58981396453</v>
      </c>
      <c r="E30" s="1">
        <f>D30-$D$4</f>
        <v>97.8507641093147</v>
      </c>
      <c r="F30" s="1">
        <f>$F$2*360*$D$37*SQRT(C30*1)/$E$37</f>
        <v>5695.17962792907</v>
      </c>
      <c r="G30" s="1">
        <f>F30-$F$4</f>
        <v>195.701528218629</v>
      </c>
      <c r="H30" s="1">
        <f>$H$2*360*$D$37*SQRT(C30*1)/$E$37</f>
        <v>6970.89986458518</v>
      </c>
      <c r="I30" s="1">
        <f>H30-$H$4</f>
        <v>239.538670539602</v>
      </c>
      <c r="J30" s="1">
        <f>$J$2*360*$D$37*SQRT(C30*1)/$E$37</f>
        <v>7688.49249770424</v>
      </c>
      <c r="K30" s="1">
        <f>J30-$J$4</f>
        <v>264.19706309515</v>
      </c>
      <c r="L30" s="1">
        <f>$L$2*360*$D$37*SQRT(C30*1)/$E$37</f>
        <v>8542.7694418936</v>
      </c>
      <c r="M30" s="1">
        <f>L30-$L$4</f>
        <v>293.552292327944</v>
      </c>
      <c r="N30" s="1">
        <f>$N$2*360*$D$37*SQRT(C30*1)/$E$37</f>
        <v>11390.3592558581</v>
      </c>
      <c r="O30" s="1">
        <f>N30-$N$4</f>
        <v>391.403056437259</v>
      </c>
      <c r="Q30" s="26"/>
    </row>
    <row r="31" spans="1:17">
      <c r="A31" s="25">
        <f>'H2O Calculations'!A35</f>
        <v>90</v>
      </c>
      <c r="B31" s="26">
        <f>'Calculo de Dk Acetona'!B32</f>
        <v>1.93410930386862</v>
      </c>
      <c r="C31" s="26">
        <f>'Calculo de Dk Acetona'!D32</f>
        <v>3.63875204974936</v>
      </c>
      <c r="D31" s="1">
        <f>$D$2*360*$D$37*SQRT(C31*1)/$E$37</f>
        <v>2863.30783990137</v>
      </c>
      <c r="E31" s="1">
        <f>D31-$D$4</f>
        <v>113.568790046152</v>
      </c>
      <c r="F31" s="1">
        <f>$F$2*360*$D$37*SQRT(C31*1)/$E$37</f>
        <v>5726.61567980274</v>
      </c>
      <c r="G31" s="1">
        <f>F31-$F$4</f>
        <v>227.137580092304</v>
      </c>
      <c r="H31" s="1">
        <f>$H$2*360*$D$37*SQRT(C31*1)/$E$37</f>
        <v>7009.37759207856</v>
      </c>
      <c r="I31" s="1">
        <f>H31-$H$4</f>
        <v>278.016398032979</v>
      </c>
      <c r="J31" s="1">
        <f>$J$2*360*$D$37*SQRT(C31*1)/$E$37</f>
        <v>7730.9311677337</v>
      </c>
      <c r="K31" s="1">
        <f>J31-$J$4</f>
        <v>306.635733124611</v>
      </c>
      <c r="L31" s="1">
        <f>$L$2*360*$D$37*SQRT(C31*1)/$E$37</f>
        <v>8589.92351970411</v>
      </c>
      <c r="M31" s="1">
        <f>L31-$L$4</f>
        <v>340.706370138456</v>
      </c>
      <c r="N31" s="1">
        <f>$N$2*360*$D$37*SQRT(C31*1)/$E$37</f>
        <v>11453.2313596055</v>
      </c>
      <c r="O31" s="1">
        <f>N31-$N$4</f>
        <v>454.275160184608</v>
      </c>
      <c r="Q31" s="26"/>
    </row>
    <row r="32" spans="1:15">
      <c r="A32" s="25">
        <f>'H2O Calculations'!A36</f>
        <v>100</v>
      </c>
      <c r="B32" s="26">
        <f>'Calculo de Dk Acetona'!B33</f>
        <v>2.07498362734879</v>
      </c>
      <c r="C32" s="26">
        <f>'Calculo de Dk Acetona'!D33</f>
        <v>3.68144521003153</v>
      </c>
      <c r="D32" s="1">
        <f>$D$2*360*$D$37*SQRT(C32*1)/$E$37</f>
        <v>2880.05632654681</v>
      </c>
      <c r="E32" s="1">
        <f>D32-$D$4</f>
        <v>130.317276691594</v>
      </c>
      <c r="F32" s="1">
        <f>$F$2*360*$D$37*SQRT(C32*1)/$E$37</f>
        <v>5760.11265309363</v>
      </c>
      <c r="G32" s="1">
        <f>F32-$F$4</f>
        <v>260.634553383187</v>
      </c>
      <c r="H32" s="1">
        <f>$H$2*360*$D$37*SQRT(C32*1)/$E$37</f>
        <v>7050.3778873866</v>
      </c>
      <c r="I32" s="1">
        <f>H32-$H$4</f>
        <v>319.01669334102</v>
      </c>
      <c r="J32" s="1">
        <f>$J$2*360*$D$37*SQRT(C32*1)/$E$37</f>
        <v>7776.1520816764</v>
      </c>
      <c r="K32" s="1">
        <f>J32-$J$4</f>
        <v>351.856647067303</v>
      </c>
      <c r="L32" s="1">
        <f>$L$2*360*$D$37*SQRT(C32*1)/$E$37</f>
        <v>8640.16897964044</v>
      </c>
      <c r="M32" s="1">
        <f>L32-$L$4</f>
        <v>390.95183007478</v>
      </c>
      <c r="N32" s="1">
        <f>$N$2*360*$D$37*SQRT(C32*1)/$E$37</f>
        <v>11520.2253061873</v>
      </c>
      <c r="O32" s="1">
        <f>N32-$N$4</f>
        <v>521.269106766375</v>
      </c>
    </row>
    <row r="36" spans="4:5">
      <c r="D36" s="1" t="s">
        <v>116</v>
      </c>
      <c r="E36" s="1" t="s">
        <v>29</v>
      </c>
    </row>
    <row r="37" spans="4:5">
      <c r="D37" s="27">
        <f>5000000000</f>
        <v>5000000000</v>
      </c>
      <c r="E37" s="27">
        <f>299792458</f>
        <v>299792458</v>
      </c>
    </row>
    <row r="43" spans="4:6">
      <c r="D43" s="1">
        <f>0.000006055611</f>
        <v>6.055611e-6</v>
      </c>
      <c r="E43" s="1">
        <f>D43*D2</f>
        <v>1.51390275e-6</v>
      </c>
      <c r="F43" s="1" t="s">
        <v>117</v>
      </c>
    </row>
    <row r="44" spans="8:11">
      <c r="H44" s="28">
        <v>0.01</v>
      </c>
      <c r="I44" s="28">
        <v>0.612</v>
      </c>
      <c r="K44" s="28"/>
    </row>
    <row r="45" spans="4:11">
      <c r="D45" s="1" t="s">
        <v>118</v>
      </c>
      <c r="E45" s="1">
        <f>1/SQRT(2)</f>
        <v>0.707106781186547</v>
      </c>
      <c r="H45" s="1" t="s">
        <v>104</v>
      </c>
      <c r="I45" s="1" t="s">
        <v>104</v>
      </c>
      <c r="J45" s="29" t="s">
        <v>119</v>
      </c>
      <c r="K45" s="29" t="s">
        <v>119</v>
      </c>
    </row>
    <row r="46" spans="8:13">
      <c r="H46" s="1">
        <f>$H$44*360*$D$37*SQRT(C4*1)/$E$37</f>
        <v>109.989561994209</v>
      </c>
      <c r="I46" s="1">
        <f>$I$44*360*$D$37*SQRT(C4*1)/$E$37</f>
        <v>6731.36119404558</v>
      </c>
      <c r="J46" s="1">
        <f t="shared" ref="J46:J50" si="0">I46-H46</f>
        <v>6621.37163205137</v>
      </c>
      <c r="K46" s="1">
        <f t="shared" ref="K46:K50" si="1">MOD(J46,360)</f>
        <v>141.371632051368</v>
      </c>
      <c r="L46" s="1">
        <f t="shared" ref="L46:L50" si="2">ABS(SQRT(2)*$E$45*COS((K46*PI()/180)/2))</f>
        <v>0.33074802716517</v>
      </c>
      <c r="M46" s="1">
        <f t="shared" ref="M46:M50" si="3">$L$46-L46</f>
        <v>0</v>
      </c>
    </row>
    <row r="47" spans="8:13">
      <c r="H47" s="1">
        <f>$H$44*360*$D$37*SQRT(C5*1)/$E$37</f>
        <v>109.993492180352</v>
      </c>
      <c r="I47" s="1">
        <f>$I$44*360*$D$37*SQRT(C5*1)/$E$37</f>
        <v>6731.60172143755</v>
      </c>
      <c r="J47" s="1">
        <f t="shared" si="0"/>
        <v>6621.6082292572</v>
      </c>
      <c r="K47" s="1">
        <f t="shared" si="1"/>
        <v>141.608229257196</v>
      </c>
      <c r="L47" s="1">
        <f t="shared" si="2"/>
        <v>0.32879882661923</v>
      </c>
      <c r="M47" s="1">
        <f t="shared" si="3"/>
        <v>0.00194920054594</v>
      </c>
    </row>
    <row r="48" spans="8:13">
      <c r="H48" s="1">
        <f>$H$44*360*$D$37*SQRT(C14*1)/$E$37</f>
        <v>110.028951017179</v>
      </c>
      <c r="I48" s="1">
        <f>$I$44*360*$D$37*SQRT(C14*1)/$E$37</f>
        <v>6733.77180225133</v>
      </c>
      <c r="J48" s="1">
        <f t="shared" si="0"/>
        <v>6623.74285123415</v>
      </c>
      <c r="K48" s="1">
        <f t="shared" si="1"/>
        <v>143.742851234149</v>
      </c>
      <c r="L48" s="1">
        <f t="shared" si="2"/>
        <v>0.311150429390309</v>
      </c>
      <c r="M48" s="1">
        <f t="shared" si="3"/>
        <v>0.019597597774861</v>
      </c>
    </row>
    <row r="49" spans="8:13">
      <c r="H49" s="1">
        <f>$H$44*360*$D$37*SQRT(C23*1)/$E$37</f>
        <v>110.392387036829</v>
      </c>
      <c r="I49" s="1">
        <f>$I$44*360*$D$37*SQRT(C23*1)/$E$37</f>
        <v>6756.01408665395</v>
      </c>
      <c r="J49" s="1">
        <f t="shared" si="0"/>
        <v>6645.62169961713</v>
      </c>
      <c r="K49" s="1">
        <f t="shared" si="1"/>
        <v>165.621699617125</v>
      </c>
      <c r="L49" s="1">
        <f t="shared" si="2"/>
        <v>0.125145359634293</v>
      </c>
      <c r="M49" s="1">
        <f t="shared" si="3"/>
        <v>0.205602667530877</v>
      </c>
    </row>
    <row r="50" spans="8:13">
      <c r="H50" s="1">
        <f>$H$44*360*$D$37*SQRT(C32*1)/$E$37</f>
        <v>115.202253061873</v>
      </c>
      <c r="I50" s="1">
        <f>$I$44*360*$D$37*SQRT(C32*1)/$E$37</f>
        <v>7050.3778873866</v>
      </c>
      <c r="J50" s="1">
        <f t="shared" si="0"/>
        <v>6935.17563432472</v>
      </c>
      <c r="K50" s="1">
        <f t="shared" si="1"/>
        <v>95.1756343247243</v>
      </c>
      <c r="L50" s="1">
        <f t="shared" si="2"/>
        <v>0.674459390562911</v>
      </c>
      <c r="M50" s="1">
        <f t="shared" si="3"/>
        <v>-0.343711363397741</v>
      </c>
    </row>
    <row r="53" spans="5:8">
      <c r="E53" s="28">
        <v>0.01</v>
      </c>
      <c r="F53" s="28">
        <v>0.612</v>
      </c>
      <c r="H53" s="28"/>
    </row>
    <row r="54" spans="5:9">
      <c r="E54" s="1" t="s">
        <v>104</v>
      </c>
      <c r="F54" s="1" t="s">
        <v>104</v>
      </c>
      <c r="G54" s="29" t="s">
        <v>119</v>
      </c>
      <c r="H54" s="29" t="s">
        <v>120</v>
      </c>
      <c r="I54" s="1" t="s">
        <v>121</v>
      </c>
    </row>
    <row r="55" spans="5:12">
      <c r="E55" s="1">
        <f t="shared" ref="E55:E83" si="4">$H$44*360*$D$37*SQRT(C4*1)/$E$37</f>
        <v>109.989561994209</v>
      </c>
      <c r="F55" s="1">
        <f t="shared" ref="F55:F83" si="5">$I$44*360*$D$37*SQRT(C4*1)/$E$37</f>
        <v>6731.36119404558</v>
      </c>
      <c r="G55" s="1">
        <f t="shared" ref="G55:G83" si="6">F55-E55</f>
        <v>6621.37163205137</v>
      </c>
      <c r="H55" s="1">
        <f t="shared" ref="H55:H83" si="7">MOD(G55,360)</f>
        <v>141.371632051368</v>
      </c>
      <c r="I55" s="1">
        <f t="shared" ref="I55:I83" si="8">ABS(SQRT(2)*$E$45*COS((H55*PI()/180)/2))</f>
        <v>0.33074802716517</v>
      </c>
      <c r="K55" s="1">
        <v>90</v>
      </c>
      <c r="L55" s="1">
        <f t="shared" ref="L55:L118" si="9">ABS(SQRT(2)*$E$45*COS((K55*PI()/180)/2))</f>
        <v>0.707106781186548</v>
      </c>
    </row>
    <row r="56" spans="5:12">
      <c r="E56" s="1">
        <f t="shared" si="4"/>
        <v>109.993492180352</v>
      </c>
      <c r="F56" s="1">
        <f t="shared" si="5"/>
        <v>6731.60172143755</v>
      </c>
      <c r="G56" s="1">
        <f t="shared" si="6"/>
        <v>6621.6082292572</v>
      </c>
      <c r="H56" s="1">
        <f t="shared" si="7"/>
        <v>141.608229257196</v>
      </c>
      <c r="I56" s="1">
        <f t="shared" si="8"/>
        <v>0.32879882661923</v>
      </c>
      <c r="K56" s="1">
        <f t="shared" ref="K56:K119" si="10">K55+1</f>
        <v>91</v>
      </c>
      <c r="L56" s="1">
        <f t="shared" si="9"/>
        <v>0.700909264299851</v>
      </c>
    </row>
    <row r="57" spans="5:12">
      <c r="E57" s="1">
        <f t="shared" si="4"/>
        <v>109.997424299588</v>
      </c>
      <c r="F57" s="1">
        <f t="shared" si="5"/>
        <v>6731.84236713476</v>
      </c>
      <c r="G57" s="1">
        <f t="shared" si="6"/>
        <v>6621.84494283517</v>
      </c>
      <c r="H57" s="1">
        <f t="shared" si="7"/>
        <v>141.844942835173</v>
      </c>
      <c r="I57" s="1">
        <f t="shared" si="8"/>
        <v>0.326847264646643</v>
      </c>
      <c r="K57" s="1">
        <f t="shared" si="10"/>
        <v>92</v>
      </c>
      <c r="L57" s="1">
        <f t="shared" si="9"/>
        <v>0.694658370458997</v>
      </c>
    </row>
    <row r="58" spans="5:12">
      <c r="E58" s="1">
        <f t="shared" si="4"/>
        <v>110.001358353349</v>
      </c>
      <c r="F58" s="1">
        <f t="shared" si="5"/>
        <v>6732.08313122497</v>
      </c>
      <c r="G58" s="1">
        <f t="shared" si="6"/>
        <v>6622.08177287162</v>
      </c>
      <c r="H58" s="1">
        <f t="shared" si="7"/>
        <v>142.081772871623</v>
      </c>
      <c r="I58" s="1">
        <f t="shared" si="8"/>
        <v>0.324893346799489</v>
      </c>
      <c r="K58" s="1">
        <f t="shared" si="10"/>
        <v>93</v>
      </c>
      <c r="L58" s="1">
        <f t="shared" si="9"/>
        <v>0.688354575693754</v>
      </c>
    </row>
    <row r="59" spans="5:12">
      <c r="E59" s="1">
        <f t="shared" si="4"/>
        <v>110.005294343073</v>
      </c>
      <c r="F59" s="1">
        <f t="shared" si="5"/>
        <v>6732.32401379604</v>
      </c>
      <c r="G59" s="1">
        <f t="shared" si="6"/>
        <v>6622.31871945297</v>
      </c>
      <c r="H59" s="1">
        <f t="shared" si="7"/>
        <v>142.31871945297</v>
      </c>
      <c r="I59" s="1">
        <f t="shared" si="8"/>
        <v>0.322937078656531</v>
      </c>
      <c r="K59" s="1">
        <f t="shared" si="10"/>
        <v>94</v>
      </c>
      <c r="L59" s="1">
        <f t="shared" si="9"/>
        <v>0.681998360062498</v>
      </c>
    </row>
    <row r="60" spans="5:12">
      <c r="E60" s="1">
        <f t="shared" si="4"/>
        <v>110.009232270195</v>
      </c>
      <c r="F60" s="1">
        <f t="shared" si="5"/>
        <v>6732.56501493591</v>
      </c>
      <c r="G60" s="1">
        <f t="shared" si="6"/>
        <v>6622.55578266571</v>
      </c>
      <c r="H60" s="1">
        <f t="shared" si="7"/>
        <v>142.555782665714</v>
      </c>
      <c r="I60" s="1">
        <f t="shared" si="8"/>
        <v>0.32097846582348</v>
      </c>
      <c r="K60" s="1">
        <f t="shared" si="10"/>
        <v>95</v>
      </c>
      <c r="L60" s="1">
        <f t="shared" si="9"/>
        <v>0.67559020761566</v>
      </c>
    </row>
    <row r="61" spans="5:12">
      <c r="E61" s="1">
        <f t="shared" si="4"/>
        <v>110.013172136154</v>
      </c>
      <c r="F61" s="1">
        <f t="shared" si="5"/>
        <v>6732.80613473261</v>
      </c>
      <c r="G61" s="1">
        <f t="shared" si="6"/>
        <v>6622.79296259645</v>
      </c>
      <c r="H61" s="1">
        <f t="shared" si="7"/>
        <v>142.792962596453</v>
      </c>
      <c r="I61" s="1">
        <f t="shared" si="8"/>
        <v>0.319017513932845</v>
      </c>
      <c r="K61" s="1">
        <f t="shared" si="10"/>
        <v>96</v>
      </c>
      <c r="L61" s="1">
        <f t="shared" si="9"/>
        <v>0.669130606358858</v>
      </c>
    </row>
    <row r="62" spans="5:12">
      <c r="E62" s="1">
        <f t="shared" si="4"/>
        <v>110.01711394239</v>
      </c>
      <c r="F62" s="1">
        <f t="shared" si="5"/>
        <v>6733.04737327425</v>
      </c>
      <c r="G62" s="1">
        <f t="shared" si="6"/>
        <v>6623.03025933186</v>
      </c>
      <c r="H62" s="1">
        <f t="shared" si="7"/>
        <v>143.030259331859</v>
      </c>
      <c r="I62" s="1">
        <f t="shared" si="8"/>
        <v>0.317054228644168</v>
      </c>
      <c r="K62" s="1">
        <f t="shared" si="10"/>
        <v>97</v>
      </c>
      <c r="L62" s="1">
        <f t="shared" si="9"/>
        <v>0.662620048215738</v>
      </c>
    </row>
    <row r="63" spans="5:12">
      <c r="E63" s="1">
        <f t="shared" si="4"/>
        <v>110.021057690344</v>
      </c>
      <c r="F63" s="1">
        <f t="shared" si="5"/>
        <v>6733.28873064904</v>
      </c>
      <c r="G63" s="1">
        <f t="shared" si="6"/>
        <v>6623.2676729587</v>
      </c>
      <c r="H63" s="1">
        <f t="shared" si="7"/>
        <v>143.267672958698</v>
      </c>
      <c r="I63" s="1">
        <f t="shared" si="8"/>
        <v>0.315088615643954</v>
      </c>
      <c r="K63" s="1">
        <f t="shared" si="10"/>
        <v>98</v>
      </c>
      <c r="L63" s="1">
        <f t="shared" si="9"/>
        <v>0.656059028990507</v>
      </c>
    </row>
    <row r="64" spans="5:12">
      <c r="E64" s="1">
        <f t="shared" si="4"/>
        <v>110.025003381459</v>
      </c>
      <c r="F64" s="1">
        <f t="shared" si="5"/>
        <v>6733.53020694527</v>
      </c>
      <c r="G64" s="1">
        <f t="shared" si="6"/>
        <v>6623.50520356381</v>
      </c>
      <c r="H64" s="1">
        <f t="shared" si="7"/>
        <v>143.505203563813</v>
      </c>
      <c r="I64" s="1">
        <f t="shared" si="8"/>
        <v>0.313120680645813</v>
      </c>
      <c r="K64" s="1">
        <f t="shared" si="10"/>
        <v>99</v>
      </c>
      <c r="L64" s="1">
        <f t="shared" si="9"/>
        <v>0.649448048330184</v>
      </c>
    </row>
    <row r="65" spans="5:12">
      <c r="E65" s="1">
        <f t="shared" si="4"/>
        <v>110.028951017179</v>
      </c>
      <c r="F65" s="1">
        <f t="shared" si="5"/>
        <v>6733.77180225133</v>
      </c>
      <c r="G65" s="1">
        <f t="shared" si="6"/>
        <v>6623.74285123415</v>
      </c>
      <c r="H65" s="1">
        <f t="shared" si="7"/>
        <v>143.742851234149</v>
      </c>
      <c r="I65" s="1">
        <f t="shared" si="8"/>
        <v>0.311150429390309</v>
      </c>
      <c r="K65" s="1">
        <f t="shared" si="10"/>
        <v>100</v>
      </c>
      <c r="L65" s="1">
        <f t="shared" si="9"/>
        <v>0.642787609686539</v>
      </c>
    </row>
    <row r="66" spans="5:12">
      <c r="E66" s="1">
        <f t="shared" si="4"/>
        <v>110.068534646386</v>
      </c>
      <c r="F66" s="1">
        <f t="shared" si="5"/>
        <v>6736.1943203588</v>
      </c>
      <c r="G66" s="1">
        <f t="shared" si="6"/>
        <v>6626.12578571242</v>
      </c>
      <c r="H66" s="1">
        <f t="shared" si="7"/>
        <v>146.125785712418</v>
      </c>
      <c r="I66" s="1">
        <f t="shared" si="8"/>
        <v>0.291321805094366</v>
      </c>
      <c r="K66" s="1">
        <f t="shared" si="10"/>
        <v>101</v>
      </c>
      <c r="L66" s="1">
        <f t="shared" si="9"/>
        <v>0.636078220277764</v>
      </c>
    </row>
    <row r="67" spans="5:12">
      <c r="E67" s="1">
        <f t="shared" si="4"/>
        <v>110.108314335354</v>
      </c>
      <c r="F67" s="1">
        <f t="shared" si="5"/>
        <v>6738.62883732368</v>
      </c>
      <c r="G67" s="1">
        <f t="shared" si="6"/>
        <v>6628.52052298833</v>
      </c>
      <c r="H67" s="1">
        <f t="shared" si="7"/>
        <v>148.52052298833</v>
      </c>
      <c r="I67" s="1">
        <f t="shared" si="8"/>
        <v>0.271268072802564</v>
      </c>
      <c r="K67" s="1">
        <f t="shared" si="10"/>
        <v>102</v>
      </c>
      <c r="L67" s="1">
        <f t="shared" si="9"/>
        <v>0.629320391049838</v>
      </c>
    </row>
    <row r="68" spans="5:12">
      <c r="E68" s="1">
        <f t="shared" si="4"/>
        <v>110.148291552191</v>
      </c>
      <c r="F68" s="1">
        <f t="shared" si="5"/>
        <v>6741.0754429941</v>
      </c>
      <c r="G68" s="1">
        <f t="shared" si="6"/>
        <v>6630.92715144191</v>
      </c>
      <c r="H68" s="1">
        <f t="shared" si="7"/>
        <v>150.927151441907</v>
      </c>
      <c r="I68" s="1">
        <f t="shared" si="8"/>
        <v>0.250995427718531</v>
      </c>
      <c r="K68" s="1">
        <f t="shared" si="10"/>
        <v>103</v>
      </c>
      <c r="L68" s="1">
        <f t="shared" si="9"/>
        <v>0.62251463663762</v>
      </c>
    </row>
    <row r="69" spans="5:12">
      <c r="E69" s="1">
        <f t="shared" si="4"/>
        <v>110.18846777977</v>
      </c>
      <c r="F69" s="1">
        <f t="shared" si="5"/>
        <v>6743.5342281219</v>
      </c>
      <c r="G69" s="1">
        <f t="shared" si="6"/>
        <v>6633.34576034213</v>
      </c>
      <c r="H69" s="1">
        <f t="shared" si="7"/>
        <v>153.345760342133</v>
      </c>
      <c r="I69" s="1">
        <f t="shared" si="8"/>
        <v>0.230510346455624</v>
      </c>
      <c r="K69" s="1">
        <f t="shared" si="10"/>
        <v>104</v>
      </c>
      <c r="L69" s="1">
        <f t="shared" si="9"/>
        <v>0.615661475325658</v>
      </c>
    </row>
    <row r="70" spans="5:12">
      <c r="E70" s="1">
        <f t="shared" si="4"/>
        <v>110.228844515917</v>
      </c>
      <c r="F70" s="1">
        <f t="shared" si="5"/>
        <v>6746.00528437413</v>
      </c>
      <c r="G70" s="1">
        <f t="shared" si="6"/>
        <v>6635.77643985821</v>
      </c>
      <c r="H70" s="1">
        <f t="shared" si="7"/>
        <v>155.776439858208</v>
      </c>
      <c r="I70" s="1">
        <f t="shared" si="8"/>
        <v>0.209819591705932</v>
      </c>
      <c r="K70" s="1">
        <f t="shared" si="10"/>
        <v>105</v>
      </c>
      <c r="L70" s="1">
        <f t="shared" si="9"/>
        <v>0.608761429008721</v>
      </c>
    </row>
    <row r="71" spans="5:12">
      <c r="E71" s="1">
        <f t="shared" si="4"/>
        <v>110.269423273604</v>
      </c>
      <c r="F71" s="1">
        <f t="shared" si="5"/>
        <v>6748.48870434456</v>
      </c>
      <c r="G71" s="1">
        <f t="shared" si="6"/>
        <v>6638.21928107096</v>
      </c>
      <c r="H71" s="1">
        <f t="shared" si="7"/>
        <v>158.21928107096</v>
      </c>
      <c r="I71" s="1">
        <f t="shared" si="8"/>
        <v>0.188930216838643</v>
      </c>
      <c r="K71" s="1">
        <f t="shared" si="10"/>
        <v>106</v>
      </c>
      <c r="L71" s="1">
        <f t="shared" si="9"/>
        <v>0.601815023152048</v>
      </c>
    </row>
    <row r="72" spans="5:12">
      <c r="E72" s="1">
        <f t="shared" si="4"/>
        <v>110.310205581137</v>
      </c>
      <c r="F72" s="1">
        <f t="shared" si="5"/>
        <v>6750.98458156561</v>
      </c>
      <c r="G72" s="1">
        <f t="shared" si="6"/>
        <v>6640.67437598447</v>
      </c>
      <c r="H72" s="1">
        <f t="shared" si="7"/>
        <v>160.674375984468</v>
      </c>
      <c r="I72" s="1">
        <f t="shared" si="8"/>
        <v>0.16784957041844</v>
      </c>
      <c r="K72" s="1">
        <f t="shared" si="10"/>
        <v>107</v>
      </c>
      <c r="L72" s="1">
        <f t="shared" si="9"/>
        <v>0.594822786751341</v>
      </c>
    </row>
    <row r="73" spans="5:12">
      <c r="E73" s="1">
        <f t="shared" si="4"/>
        <v>110.351192982356</v>
      </c>
      <c r="F73" s="1">
        <f t="shared" si="5"/>
        <v>6753.49301052018</v>
      </c>
      <c r="G73" s="1">
        <f t="shared" si="6"/>
        <v>6643.14181753783</v>
      </c>
      <c r="H73" s="1">
        <f t="shared" si="7"/>
        <v>163.141817537827</v>
      </c>
      <c r="I73" s="1">
        <f t="shared" si="8"/>
        <v>0.146585300635126</v>
      </c>
      <c r="K73" s="1">
        <f t="shared" si="10"/>
        <v>108</v>
      </c>
      <c r="L73" s="1">
        <f t="shared" si="9"/>
        <v>0.587785252292473</v>
      </c>
    </row>
    <row r="74" spans="5:12">
      <c r="E74" s="1">
        <f t="shared" si="4"/>
        <v>110.392387036829</v>
      </c>
      <c r="F74" s="1">
        <f t="shared" si="5"/>
        <v>6756.01408665395</v>
      </c>
      <c r="G74" s="1">
        <f t="shared" si="6"/>
        <v>6645.62169961713</v>
      </c>
      <c r="H74" s="1">
        <f t="shared" si="7"/>
        <v>165.621699617125</v>
      </c>
      <c r="I74" s="1">
        <f t="shared" si="8"/>
        <v>0.125145359634293</v>
      </c>
      <c r="K74" s="1">
        <f t="shared" si="10"/>
        <v>109</v>
      </c>
      <c r="L74" s="1">
        <f t="shared" si="9"/>
        <v>0.58070295571094</v>
      </c>
    </row>
    <row r="75" spans="5:12">
      <c r="E75" s="1">
        <f t="shared" si="4"/>
        <v>110.816048276854</v>
      </c>
      <c r="F75" s="1">
        <f t="shared" si="5"/>
        <v>6781.94215454346</v>
      </c>
      <c r="G75" s="1">
        <f t="shared" si="6"/>
        <v>6671.12610626661</v>
      </c>
      <c r="H75" s="1">
        <f t="shared" si="7"/>
        <v>191.12610626661</v>
      </c>
      <c r="I75" s="1">
        <f t="shared" si="8"/>
        <v>0.0969411126275673</v>
      </c>
      <c r="K75" s="1">
        <f t="shared" si="10"/>
        <v>110</v>
      </c>
      <c r="L75" s="1">
        <f t="shared" si="9"/>
        <v>0.573576436351046</v>
      </c>
    </row>
    <row r="76" spans="5:12">
      <c r="E76" s="1">
        <f t="shared" si="4"/>
        <v>111.262215360067</v>
      </c>
      <c r="F76" s="1">
        <f t="shared" si="5"/>
        <v>6809.24758003609</v>
      </c>
      <c r="G76" s="1">
        <f t="shared" si="6"/>
        <v>6697.98536467602</v>
      </c>
      <c r="H76" s="1">
        <f t="shared" si="7"/>
        <v>217.985364676025</v>
      </c>
      <c r="I76" s="1">
        <f t="shared" si="8"/>
        <v>0.325447392727132</v>
      </c>
      <c r="K76" s="1">
        <f t="shared" si="10"/>
        <v>111</v>
      </c>
      <c r="L76" s="1">
        <f t="shared" si="9"/>
        <v>0.566406236924833</v>
      </c>
    </row>
    <row r="77" spans="5:12">
      <c r="E77" s="1">
        <f t="shared" si="4"/>
        <v>111.73274228113</v>
      </c>
      <c r="F77" s="1">
        <f t="shared" si="5"/>
        <v>6838.04382760516</v>
      </c>
      <c r="G77" s="1">
        <f t="shared" si="6"/>
        <v>6726.31108532403</v>
      </c>
      <c r="H77" s="1">
        <f t="shared" si="7"/>
        <v>246.311085324026</v>
      </c>
      <c r="I77" s="1">
        <f t="shared" si="8"/>
        <v>0.54691379076373</v>
      </c>
      <c r="K77" s="1">
        <f t="shared" si="10"/>
        <v>112</v>
      </c>
      <c r="L77" s="1">
        <f t="shared" si="9"/>
        <v>0.559192903470747</v>
      </c>
    </row>
    <row r="78" spans="5:12">
      <c r="E78" s="1">
        <f t="shared" si="4"/>
        <v>112.229693693012</v>
      </c>
      <c r="F78" s="1">
        <f t="shared" si="5"/>
        <v>6868.45725401235</v>
      </c>
      <c r="G78" s="1">
        <f t="shared" si="6"/>
        <v>6756.22756031933</v>
      </c>
      <c r="H78" s="1">
        <f t="shared" si="7"/>
        <v>276.227560319333</v>
      </c>
      <c r="I78" s="1">
        <f t="shared" si="8"/>
        <v>0.744472144547738</v>
      </c>
      <c r="K78" s="1">
        <f t="shared" si="10"/>
        <v>113</v>
      </c>
      <c r="L78" s="1">
        <f t="shared" si="9"/>
        <v>0.551936985312058</v>
      </c>
    </row>
    <row r="79" spans="5:12">
      <c r="E79" s="1">
        <f t="shared" si="4"/>
        <v>112.755375878722</v>
      </c>
      <c r="F79" s="1">
        <f t="shared" si="5"/>
        <v>6900.6290037778</v>
      </c>
      <c r="G79" s="1">
        <f t="shared" si="6"/>
        <v>6787.87362789907</v>
      </c>
      <c r="H79" s="1">
        <f t="shared" si="7"/>
        <v>307.873627899074</v>
      </c>
      <c r="I79" s="1">
        <f t="shared" si="8"/>
        <v>0.898310062123633</v>
      </c>
      <c r="K79" s="1">
        <f t="shared" si="10"/>
        <v>114</v>
      </c>
      <c r="L79" s="1">
        <f t="shared" si="9"/>
        <v>0.544639035015027</v>
      </c>
    </row>
    <row r="80" spans="5:12">
      <c r="E80" s="1">
        <f t="shared" si="4"/>
        <v>113.312373383484</v>
      </c>
      <c r="F80" s="1">
        <f t="shared" si="5"/>
        <v>6934.71725106925</v>
      </c>
      <c r="G80" s="1">
        <f t="shared" si="6"/>
        <v>6821.40487768577</v>
      </c>
      <c r="H80" s="1">
        <f t="shared" si="7"/>
        <v>341.404877685766</v>
      </c>
      <c r="I80" s="1">
        <f t="shared" si="8"/>
        <v>0.986862594314897</v>
      </c>
      <c r="K80" s="1">
        <f t="shared" si="10"/>
        <v>115</v>
      </c>
      <c r="L80" s="1">
        <f t="shared" si="9"/>
        <v>0.537299608346824</v>
      </c>
    </row>
    <row r="81" spans="5:12">
      <c r="E81" s="1">
        <f t="shared" si="4"/>
        <v>113.903592558581</v>
      </c>
      <c r="F81" s="1">
        <f t="shared" si="5"/>
        <v>6970.89986458518</v>
      </c>
      <c r="G81" s="1">
        <f t="shared" si="6"/>
        <v>6856.9962720266</v>
      </c>
      <c r="H81" s="1">
        <f t="shared" si="7"/>
        <v>16.9962720265976</v>
      </c>
      <c r="I81" s="1">
        <f t="shared" si="8"/>
        <v>0.989020671478531</v>
      </c>
      <c r="K81" s="1">
        <f t="shared" si="10"/>
        <v>116</v>
      </c>
      <c r="L81" s="1">
        <f t="shared" si="9"/>
        <v>0.529919264233205</v>
      </c>
    </row>
    <row r="82" spans="5:12">
      <c r="E82" s="1">
        <f t="shared" si="4"/>
        <v>114.532313596055</v>
      </c>
      <c r="F82" s="1">
        <f t="shared" si="5"/>
        <v>7009.37759207856</v>
      </c>
      <c r="G82" s="1">
        <f t="shared" si="6"/>
        <v>6894.8452784825</v>
      </c>
      <c r="H82" s="1">
        <f t="shared" si="7"/>
        <v>54.8452784825004</v>
      </c>
      <c r="I82" s="1">
        <f t="shared" si="8"/>
        <v>0.887633477416277</v>
      </c>
      <c r="K82" s="1">
        <f t="shared" si="10"/>
        <v>117</v>
      </c>
      <c r="L82" s="1">
        <f t="shared" si="9"/>
        <v>0.522498564715949</v>
      </c>
    </row>
    <row r="83" spans="5:12">
      <c r="E83" s="1">
        <f t="shared" si="4"/>
        <v>115.202253061873</v>
      </c>
      <c r="F83" s="1">
        <f t="shared" si="5"/>
        <v>7050.3778873866</v>
      </c>
      <c r="G83" s="1">
        <f t="shared" si="6"/>
        <v>6935.17563432472</v>
      </c>
      <c r="H83" s="1">
        <f t="shared" si="7"/>
        <v>95.1756343247243</v>
      </c>
      <c r="I83" s="1">
        <f t="shared" si="8"/>
        <v>0.674459390562911</v>
      </c>
      <c r="K83" s="1">
        <f t="shared" si="10"/>
        <v>118</v>
      </c>
      <c r="L83" s="1">
        <f t="shared" si="9"/>
        <v>0.515038074910054</v>
      </c>
    </row>
    <row r="84" spans="11:12">
      <c r="K84" s="1">
        <f t="shared" si="10"/>
        <v>119</v>
      </c>
      <c r="L84" s="1">
        <f t="shared" si="9"/>
        <v>0.507538362960704</v>
      </c>
    </row>
    <row r="85" spans="11:12">
      <c r="K85" s="1">
        <f t="shared" si="10"/>
        <v>120</v>
      </c>
      <c r="L85" s="1">
        <f t="shared" si="9"/>
        <v>0.5</v>
      </c>
    </row>
    <row r="86" spans="11:12">
      <c r="K86" s="1">
        <f t="shared" si="10"/>
        <v>121</v>
      </c>
      <c r="L86" s="1">
        <f t="shared" si="9"/>
        <v>0.492423560103467</v>
      </c>
    </row>
    <row r="87" spans="11:12">
      <c r="K87" s="1">
        <f t="shared" si="10"/>
        <v>122</v>
      </c>
      <c r="L87" s="1">
        <f t="shared" si="9"/>
        <v>0.484809620246337</v>
      </c>
    </row>
    <row r="88" spans="11:12">
      <c r="K88" s="1">
        <f t="shared" si="10"/>
        <v>123</v>
      </c>
      <c r="L88" s="1">
        <f t="shared" si="9"/>
        <v>0.477158760259608</v>
      </c>
    </row>
    <row r="89" spans="11:12">
      <c r="K89" s="1">
        <f t="shared" si="10"/>
        <v>124</v>
      </c>
      <c r="L89" s="1">
        <f t="shared" si="9"/>
        <v>0.469471562785891</v>
      </c>
    </row>
    <row r="90" spans="11:12">
      <c r="K90" s="1">
        <f t="shared" si="10"/>
        <v>125</v>
      </c>
      <c r="L90" s="1">
        <f t="shared" si="9"/>
        <v>0.461748613235034</v>
      </c>
    </row>
    <row r="91" spans="11:12">
      <c r="K91" s="1">
        <f t="shared" si="10"/>
        <v>126</v>
      </c>
      <c r="L91" s="1">
        <f t="shared" si="9"/>
        <v>0.453990499739547</v>
      </c>
    </row>
    <row r="92" spans="11:12">
      <c r="K92" s="1">
        <f t="shared" si="10"/>
        <v>127</v>
      </c>
      <c r="L92" s="1">
        <f t="shared" si="9"/>
        <v>0.446197813109809</v>
      </c>
    </row>
    <row r="93" spans="11:12">
      <c r="K93" s="1">
        <f t="shared" si="10"/>
        <v>128</v>
      </c>
      <c r="L93" s="1">
        <f t="shared" si="9"/>
        <v>0.438371146789077</v>
      </c>
    </row>
    <row r="94" spans="11:12">
      <c r="K94" s="1">
        <f t="shared" si="10"/>
        <v>129</v>
      </c>
      <c r="L94" s="1">
        <f t="shared" si="9"/>
        <v>0.430511096808295</v>
      </c>
    </row>
    <row r="95" spans="11:12">
      <c r="K95" s="1">
        <f t="shared" si="10"/>
        <v>130</v>
      </c>
      <c r="L95" s="1">
        <f t="shared" si="9"/>
        <v>0.422618261740699</v>
      </c>
    </row>
    <row r="96" spans="11:12">
      <c r="K96" s="1">
        <f t="shared" si="10"/>
        <v>131</v>
      </c>
      <c r="L96" s="1">
        <f t="shared" si="9"/>
        <v>0.414693242656239</v>
      </c>
    </row>
    <row r="97" spans="11:12">
      <c r="K97" s="1">
        <f t="shared" si="10"/>
        <v>132</v>
      </c>
      <c r="L97" s="1">
        <f t="shared" si="9"/>
        <v>0.4067366430758</v>
      </c>
    </row>
    <row r="98" spans="11:12">
      <c r="K98" s="1">
        <f t="shared" si="10"/>
        <v>133</v>
      </c>
      <c r="L98" s="1">
        <f t="shared" si="9"/>
        <v>0.398749068925246</v>
      </c>
    </row>
    <row r="99" spans="11:12">
      <c r="K99" s="1">
        <f t="shared" si="10"/>
        <v>134</v>
      </c>
      <c r="L99" s="1">
        <f t="shared" si="9"/>
        <v>0.390731128489274</v>
      </c>
    </row>
    <row r="100" spans="11:12">
      <c r="K100" s="1">
        <f t="shared" si="10"/>
        <v>135</v>
      </c>
      <c r="L100" s="1">
        <f t="shared" si="9"/>
        <v>0.38268343236509</v>
      </c>
    </row>
    <row r="101" spans="11:12">
      <c r="K101" s="1">
        <f t="shared" si="10"/>
        <v>136</v>
      </c>
      <c r="L101" s="1">
        <f t="shared" si="9"/>
        <v>0.374606593415912</v>
      </c>
    </row>
    <row r="102" spans="11:12">
      <c r="K102" s="1">
        <f t="shared" si="10"/>
        <v>137</v>
      </c>
      <c r="L102" s="1">
        <f t="shared" si="9"/>
        <v>0.366501226724297</v>
      </c>
    </row>
    <row r="103" spans="11:12">
      <c r="K103" s="1">
        <f t="shared" si="10"/>
        <v>138</v>
      </c>
      <c r="L103" s="1">
        <f t="shared" si="9"/>
        <v>0.3583679495453</v>
      </c>
    </row>
    <row r="104" spans="11:12">
      <c r="K104" s="1">
        <f t="shared" si="10"/>
        <v>139</v>
      </c>
      <c r="L104" s="1">
        <f t="shared" si="9"/>
        <v>0.350207381259467</v>
      </c>
    </row>
    <row r="105" spans="11:12">
      <c r="K105" s="1">
        <f t="shared" si="10"/>
        <v>140</v>
      </c>
      <c r="L105" s="1">
        <f t="shared" si="9"/>
        <v>0.342020143325669</v>
      </c>
    </row>
    <row r="106" spans="11:12">
      <c r="K106" s="1">
        <f t="shared" si="10"/>
        <v>141</v>
      </c>
      <c r="L106" s="1">
        <f t="shared" si="9"/>
        <v>0.333806859233771</v>
      </c>
    </row>
    <row r="107" spans="11:12">
      <c r="K107" s="1">
        <f t="shared" si="10"/>
        <v>142</v>
      </c>
      <c r="L107" s="1">
        <f t="shared" si="9"/>
        <v>0.325568154457157</v>
      </c>
    </row>
    <row r="108" spans="11:12">
      <c r="K108" s="1">
        <f t="shared" si="10"/>
        <v>143</v>
      </c>
      <c r="L108" s="1">
        <f t="shared" si="9"/>
        <v>0.317304656405092</v>
      </c>
    </row>
    <row r="109" spans="11:12">
      <c r="K109" s="1">
        <f t="shared" si="10"/>
        <v>144</v>
      </c>
      <c r="L109" s="1">
        <f t="shared" si="9"/>
        <v>0.309016994374947</v>
      </c>
    </row>
    <row r="110" spans="11:12">
      <c r="K110" s="1">
        <f t="shared" si="10"/>
        <v>145</v>
      </c>
      <c r="L110" s="1">
        <f t="shared" si="9"/>
        <v>0.300705799504273</v>
      </c>
    </row>
    <row r="111" spans="11:12">
      <c r="K111" s="1">
        <f t="shared" si="10"/>
        <v>146</v>
      </c>
      <c r="L111" s="1">
        <f t="shared" si="9"/>
        <v>0.292371704722737</v>
      </c>
    </row>
    <row r="112" spans="11:12">
      <c r="K112" s="1">
        <f t="shared" si="10"/>
        <v>147</v>
      </c>
      <c r="L112" s="1">
        <f t="shared" si="9"/>
        <v>0.284015344703923</v>
      </c>
    </row>
    <row r="113" spans="11:12">
      <c r="K113" s="1">
        <f t="shared" si="10"/>
        <v>148</v>
      </c>
      <c r="L113" s="1">
        <f t="shared" si="9"/>
        <v>0.275637355816999</v>
      </c>
    </row>
    <row r="114" spans="11:12">
      <c r="K114" s="1">
        <f t="shared" si="10"/>
        <v>149</v>
      </c>
      <c r="L114" s="1">
        <f t="shared" si="9"/>
        <v>0.267238376078257</v>
      </c>
    </row>
    <row r="115" spans="11:12">
      <c r="K115" s="1">
        <f t="shared" si="10"/>
        <v>150</v>
      </c>
      <c r="L115" s="1">
        <f t="shared" si="9"/>
        <v>0.258819045102521</v>
      </c>
    </row>
    <row r="116" spans="11:12">
      <c r="K116" s="1">
        <f t="shared" si="10"/>
        <v>151</v>
      </c>
      <c r="L116" s="1">
        <f t="shared" si="9"/>
        <v>0.250380004054441</v>
      </c>
    </row>
    <row r="117" spans="11:12">
      <c r="K117" s="1">
        <f t="shared" si="10"/>
        <v>152</v>
      </c>
      <c r="L117" s="1">
        <f t="shared" si="9"/>
        <v>0.241921895599668</v>
      </c>
    </row>
    <row r="118" spans="11:12">
      <c r="K118" s="1">
        <f t="shared" si="10"/>
        <v>153</v>
      </c>
      <c r="L118" s="1">
        <f t="shared" si="9"/>
        <v>0.233445363855905</v>
      </c>
    </row>
    <row r="119" spans="11:12">
      <c r="K119" s="1">
        <f t="shared" si="10"/>
        <v>154</v>
      </c>
      <c r="L119" s="1">
        <f t="shared" ref="L119:L182" si="11">ABS(SQRT(2)*$E$45*COS((K119*PI()/180)/2))</f>
        <v>0.224951054343865</v>
      </c>
    </row>
    <row r="120" spans="11:12">
      <c r="K120" s="1">
        <f t="shared" ref="K120:K183" si="12">K119+1</f>
        <v>155</v>
      </c>
      <c r="L120" s="1">
        <f t="shared" si="11"/>
        <v>0.216439613938103</v>
      </c>
    </row>
    <row r="121" spans="11:12">
      <c r="K121" s="1">
        <f t="shared" si="12"/>
        <v>156</v>
      </c>
      <c r="L121" s="1">
        <f t="shared" si="11"/>
        <v>0.207911690817759</v>
      </c>
    </row>
    <row r="122" spans="11:12">
      <c r="K122" s="1">
        <f t="shared" si="12"/>
        <v>157</v>
      </c>
      <c r="L122" s="1">
        <f t="shared" si="11"/>
        <v>0.199367934417197</v>
      </c>
    </row>
    <row r="123" spans="11:12">
      <c r="K123" s="1">
        <f t="shared" si="12"/>
        <v>158</v>
      </c>
      <c r="L123" s="1">
        <f t="shared" si="11"/>
        <v>0.190808995376545</v>
      </c>
    </row>
    <row r="124" spans="11:12">
      <c r="K124" s="1">
        <f t="shared" si="12"/>
        <v>159</v>
      </c>
      <c r="L124" s="1">
        <f t="shared" si="11"/>
        <v>0.182235525492147</v>
      </c>
    </row>
    <row r="125" spans="11:12">
      <c r="K125" s="1">
        <f t="shared" si="12"/>
        <v>160</v>
      </c>
      <c r="L125" s="1">
        <f t="shared" si="11"/>
        <v>0.17364817766693</v>
      </c>
    </row>
    <row r="126" spans="11:12">
      <c r="K126" s="1">
        <f t="shared" si="12"/>
        <v>161</v>
      </c>
      <c r="L126" s="1">
        <f t="shared" si="11"/>
        <v>0.165047605860678</v>
      </c>
    </row>
    <row r="127" spans="11:12">
      <c r="K127" s="1">
        <f t="shared" si="12"/>
        <v>162</v>
      </c>
      <c r="L127" s="1">
        <f t="shared" si="11"/>
        <v>0.156434465040231</v>
      </c>
    </row>
    <row r="128" spans="11:12">
      <c r="K128" s="1">
        <f t="shared" si="12"/>
        <v>163</v>
      </c>
      <c r="L128" s="1">
        <f t="shared" si="11"/>
        <v>0.147809411129611</v>
      </c>
    </row>
    <row r="129" spans="11:12">
      <c r="K129" s="1">
        <f t="shared" si="12"/>
        <v>164</v>
      </c>
      <c r="L129" s="1">
        <f t="shared" si="11"/>
        <v>0.139173100960066</v>
      </c>
    </row>
    <row r="130" spans="11:12">
      <c r="K130" s="1">
        <f t="shared" si="12"/>
        <v>165</v>
      </c>
      <c r="L130" s="1">
        <f t="shared" si="11"/>
        <v>0.130526192220052</v>
      </c>
    </row>
    <row r="131" spans="11:12">
      <c r="K131" s="1">
        <f t="shared" si="12"/>
        <v>166</v>
      </c>
      <c r="L131" s="1">
        <f t="shared" si="11"/>
        <v>0.121869343405147</v>
      </c>
    </row>
    <row r="132" spans="11:12">
      <c r="K132" s="1">
        <f t="shared" si="12"/>
        <v>167</v>
      </c>
      <c r="L132" s="1">
        <f t="shared" si="11"/>
        <v>0.113203213767907</v>
      </c>
    </row>
    <row r="133" spans="11:12">
      <c r="K133" s="1">
        <f t="shared" si="12"/>
        <v>168</v>
      </c>
      <c r="L133" s="1">
        <f t="shared" si="11"/>
        <v>0.104528463267653</v>
      </c>
    </row>
    <row r="134" spans="11:12">
      <c r="K134" s="1">
        <f t="shared" si="12"/>
        <v>169</v>
      </c>
      <c r="L134" s="1">
        <f t="shared" si="11"/>
        <v>0.0958457525202241</v>
      </c>
    </row>
    <row r="135" spans="11:12">
      <c r="K135" s="1">
        <f t="shared" si="12"/>
        <v>170</v>
      </c>
      <c r="L135" s="1">
        <f t="shared" si="11"/>
        <v>0.0871557427476581</v>
      </c>
    </row>
    <row r="136" spans="11:12">
      <c r="K136" s="1">
        <f t="shared" si="12"/>
        <v>171</v>
      </c>
      <c r="L136" s="1">
        <f t="shared" si="11"/>
        <v>0.078459095727845</v>
      </c>
    </row>
    <row r="137" spans="11:12">
      <c r="K137" s="1">
        <f t="shared" si="12"/>
        <v>172</v>
      </c>
      <c r="L137" s="1">
        <f t="shared" si="11"/>
        <v>0.0697564737441255</v>
      </c>
    </row>
    <row r="138" spans="11:12">
      <c r="K138" s="1">
        <f t="shared" si="12"/>
        <v>173</v>
      </c>
      <c r="L138" s="1">
        <f t="shared" si="11"/>
        <v>0.0610485395348569</v>
      </c>
    </row>
    <row r="139" spans="11:12">
      <c r="K139" s="1">
        <f t="shared" si="12"/>
        <v>174</v>
      </c>
      <c r="L139" s="1">
        <f t="shared" si="11"/>
        <v>0.052335956242944</v>
      </c>
    </row>
    <row r="140" spans="11:12">
      <c r="K140" s="1">
        <f t="shared" si="12"/>
        <v>175</v>
      </c>
      <c r="L140" s="1">
        <f t="shared" si="11"/>
        <v>0.0436193873653362</v>
      </c>
    </row>
    <row r="141" spans="11:12">
      <c r="K141" s="1">
        <f t="shared" si="12"/>
        <v>176</v>
      </c>
      <c r="L141" s="1">
        <f t="shared" si="11"/>
        <v>0.0348994967025011</v>
      </c>
    </row>
    <row r="142" spans="11:12">
      <c r="K142" s="1">
        <f t="shared" si="12"/>
        <v>177</v>
      </c>
      <c r="L142" s="1">
        <f t="shared" si="11"/>
        <v>0.0261769483078731</v>
      </c>
    </row>
    <row r="143" spans="11:12">
      <c r="K143" s="1">
        <f t="shared" si="12"/>
        <v>178</v>
      </c>
      <c r="L143" s="1">
        <f t="shared" si="11"/>
        <v>0.0174524064372834</v>
      </c>
    </row>
    <row r="144" spans="11:12">
      <c r="K144" s="1">
        <f t="shared" si="12"/>
        <v>179</v>
      </c>
      <c r="L144" s="1">
        <f t="shared" si="11"/>
        <v>0.0087265354983739</v>
      </c>
    </row>
    <row r="145" spans="11:12">
      <c r="K145" s="1">
        <f t="shared" si="12"/>
        <v>180</v>
      </c>
      <c r="L145" s="1">
        <f t="shared" si="11"/>
        <v>6.12323399573677e-17</v>
      </c>
    </row>
    <row r="146" spans="11:12">
      <c r="K146" s="1">
        <f t="shared" si="12"/>
        <v>181</v>
      </c>
      <c r="L146" s="1">
        <f t="shared" si="11"/>
        <v>0.00872653549837378</v>
      </c>
    </row>
    <row r="147" spans="11:12">
      <c r="K147" s="1">
        <f t="shared" si="12"/>
        <v>182</v>
      </c>
      <c r="L147" s="1">
        <f t="shared" si="11"/>
        <v>0.0174524064372835</v>
      </c>
    </row>
    <row r="148" spans="11:12">
      <c r="K148" s="1">
        <f t="shared" si="12"/>
        <v>183</v>
      </c>
      <c r="L148" s="1">
        <f t="shared" si="11"/>
        <v>0.026176948307873</v>
      </c>
    </row>
    <row r="149" spans="11:12">
      <c r="K149" s="1">
        <f t="shared" si="12"/>
        <v>184</v>
      </c>
      <c r="L149" s="1">
        <f t="shared" si="11"/>
        <v>0.0348994967025007</v>
      </c>
    </row>
    <row r="150" spans="11:12">
      <c r="K150" s="1">
        <f t="shared" si="12"/>
        <v>185</v>
      </c>
      <c r="L150" s="1">
        <f t="shared" si="11"/>
        <v>0.0436193873653359</v>
      </c>
    </row>
    <row r="151" spans="11:12">
      <c r="K151" s="1">
        <f t="shared" si="12"/>
        <v>186</v>
      </c>
      <c r="L151" s="1">
        <f t="shared" si="11"/>
        <v>0.0523359562429436</v>
      </c>
    </row>
    <row r="152" spans="11:12">
      <c r="K152" s="1">
        <f t="shared" si="12"/>
        <v>187</v>
      </c>
      <c r="L152" s="1">
        <f t="shared" si="11"/>
        <v>0.061048539534857</v>
      </c>
    </row>
    <row r="153" spans="11:12">
      <c r="K153" s="1">
        <f t="shared" si="12"/>
        <v>188</v>
      </c>
      <c r="L153" s="1">
        <f t="shared" si="11"/>
        <v>0.0697564737441253</v>
      </c>
    </row>
    <row r="154" spans="11:12">
      <c r="K154" s="1">
        <f t="shared" si="12"/>
        <v>189</v>
      </c>
      <c r="L154" s="1">
        <f t="shared" si="11"/>
        <v>0.0784590957278449</v>
      </c>
    </row>
    <row r="155" spans="11:12">
      <c r="K155" s="1">
        <f t="shared" si="12"/>
        <v>190</v>
      </c>
      <c r="L155" s="1">
        <f t="shared" si="11"/>
        <v>0.0871557427476582</v>
      </c>
    </row>
    <row r="156" spans="11:12">
      <c r="K156" s="1">
        <f t="shared" si="12"/>
        <v>191</v>
      </c>
      <c r="L156" s="1">
        <f t="shared" si="11"/>
        <v>0.095845752520224</v>
      </c>
    </row>
    <row r="157" spans="11:12">
      <c r="K157" s="1">
        <f t="shared" si="12"/>
        <v>192</v>
      </c>
      <c r="L157" s="1">
        <f t="shared" si="11"/>
        <v>0.104528463267653</v>
      </c>
    </row>
    <row r="158" spans="11:12">
      <c r="K158" s="1">
        <f t="shared" si="12"/>
        <v>193</v>
      </c>
      <c r="L158" s="1">
        <f t="shared" si="11"/>
        <v>0.113203213767907</v>
      </c>
    </row>
    <row r="159" spans="11:12">
      <c r="K159" s="1">
        <f t="shared" si="12"/>
        <v>194</v>
      </c>
      <c r="L159" s="1">
        <f t="shared" si="11"/>
        <v>0.121869343405147</v>
      </c>
    </row>
    <row r="160" spans="11:12">
      <c r="K160" s="1">
        <f t="shared" si="12"/>
        <v>195</v>
      </c>
      <c r="L160" s="1">
        <f t="shared" si="11"/>
        <v>0.130526192220051</v>
      </c>
    </row>
    <row r="161" spans="11:12">
      <c r="K161" s="1">
        <f t="shared" si="12"/>
        <v>196</v>
      </c>
      <c r="L161" s="1">
        <f t="shared" si="11"/>
        <v>0.139173100960065</v>
      </c>
    </row>
    <row r="162" spans="11:12">
      <c r="K162" s="1">
        <f t="shared" si="12"/>
        <v>197</v>
      </c>
      <c r="L162" s="1">
        <f t="shared" si="11"/>
        <v>0.14780941112961</v>
      </c>
    </row>
    <row r="163" spans="11:12">
      <c r="K163" s="1">
        <f t="shared" si="12"/>
        <v>198</v>
      </c>
      <c r="L163" s="1">
        <f t="shared" si="11"/>
        <v>0.156434465040231</v>
      </c>
    </row>
    <row r="164" spans="11:12">
      <c r="K164" s="1">
        <f t="shared" si="12"/>
        <v>199</v>
      </c>
      <c r="L164" s="1">
        <f t="shared" si="11"/>
        <v>0.165047605860678</v>
      </c>
    </row>
    <row r="165" spans="11:12">
      <c r="K165" s="1">
        <f t="shared" si="12"/>
        <v>200</v>
      </c>
      <c r="L165" s="1">
        <f t="shared" si="11"/>
        <v>0.17364817766693</v>
      </c>
    </row>
    <row r="166" spans="11:12">
      <c r="K166" s="1">
        <f t="shared" si="12"/>
        <v>201</v>
      </c>
      <c r="L166" s="1">
        <f t="shared" si="11"/>
        <v>0.182235525492148</v>
      </c>
    </row>
    <row r="167" spans="11:12">
      <c r="K167" s="1">
        <f t="shared" si="12"/>
        <v>202</v>
      </c>
      <c r="L167" s="1">
        <f t="shared" si="11"/>
        <v>0.190808995376545</v>
      </c>
    </row>
    <row r="168" spans="11:12">
      <c r="K168" s="1">
        <f t="shared" si="12"/>
        <v>203</v>
      </c>
      <c r="L168" s="1">
        <f t="shared" si="11"/>
        <v>0.199367934417197</v>
      </c>
    </row>
    <row r="169" spans="11:12">
      <c r="K169" s="1">
        <f t="shared" si="12"/>
        <v>204</v>
      </c>
      <c r="L169" s="1">
        <f t="shared" si="11"/>
        <v>0.207911690817759</v>
      </c>
    </row>
    <row r="170" spans="11:12">
      <c r="K170" s="1">
        <f t="shared" si="12"/>
        <v>205</v>
      </c>
      <c r="L170" s="1">
        <f t="shared" si="11"/>
        <v>0.216439613938103</v>
      </c>
    </row>
    <row r="171" spans="11:12">
      <c r="K171" s="1">
        <f t="shared" si="12"/>
        <v>206</v>
      </c>
      <c r="L171" s="1">
        <f t="shared" si="11"/>
        <v>0.224951054343865</v>
      </c>
    </row>
    <row r="172" spans="11:12">
      <c r="K172" s="1">
        <f t="shared" si="12"/>
        <v>207</v>
      </c>
      <c r="L172" s="1">
        <f t="shared" si="11"/>
        <v>0.233445363855905</v>
      </c>
    </row>
    <row r="173" spans="11:12">
      <c r="K173" s="1">
        <f t="shared" si="12"/>
        <v>208</v>
      </c>
      <c r="L173" s="1">
        <f t="shared" si="11"/>
        <v>0.241921895599668</v>
      </c>
    </row>
    <row r="174" spans="11:12">
      <c r="K174" s="1">
        <f t="shared" si="12"/>
        <v>209</v>
      </c>
      <c r="L174" s="1">
        <f t="shared" si="11"/>
        <v>0.250380004054441</v>
      </c>
    </row>
    <row r="175" spans="11:12">
      <c r="K175" s="1">
        <f t="shared" si="12"/>
        <v>210</v>
      </c>
      <c r="L175" s="1">
        <f t="shared" si="11"/>
        <v>0.258819045102521</v>
      </c>
    </row>
    <row r="176" spans="11:12">
      <c r="K176" s="1">
        <f t="shared" si="12"/>
        <v>211</v>
      </c>
      <c r="L176" s="1">
        <f t="shared" si="11"/>
        <v>0.267238376078257</v>
      </c>
    </row>
    <row r="177" spans="11:12">
      <c r="K177" s="1">
        <f t="shared" si="12"/>
        <v>212</v>
      </c>
      <c r="L177" s="1">
        <f t="shared" si="11"/>
        <v>0.275637355816999</v>
      </c>
    </row>
    <row r="178" spans="11:12">
      <c r="K178" s="1">
        <f t="shared" si="12"/>
        <v>213</v>
      </c>
      <c r="L178" s="1">
        <f t="shared" si="11"/>
        <v>0.284015344703923</v>
      </c>
    </row>
    <row r="179" spans="11:12">
      <c r="K179" s="1">
        <f t="shared" si="12"/>
        <v>214</v>
      </c>
      <c r="L179" s="1">
        <f t="shared" si="11"/>
        <v>0.292371704722737</v>
      </c>
    </row>
    <row r="180" spans="11:12">
      <c r="K180" s="1">
        <f t="shared" si="12"/>
        <v>215</v>
      </c>
      <c r="L180" s="1">
        <f t="shared" si="11"/>
        <v>0.300705799504273</v>
      </c>
    </row>
    <row r="181" spans="11:12">
      <c r="K181" s="1">
        <f t="shared" si="12"/>
        <v>216</v>
      </c>
      <c r="L181" s="1">
        <f t="shared" si="11"/>
        <v>0.309016994374947</v>
      </c>
    </row>
    <row r="182" spans="11:12">
      <c r="K182" s="1">
        <f t="shared" si="12"/>
        <v>217</v>
      </c>
      <c r="L182" s="1">
        <f t="shared" si="11"/>
        <v>0.317304656405092</v>
      </c>
    </row>
    <row r="183" spans="11:12">
      <c r="K183" s="1">
        <f t="shared" si="12"/>
        <v>218</v>
      </c>
      <c r="L183" s="1">
        <f t="shared" ref="L183:L235" si="13">ABS(SQRT(2)*$E$45*COS((K183*PI()/180)/2))</f>
        <v>0.325568154457156</v>
      </c>
    </row>
    <row r="184" spans="11:12">
      <c r="K184" s="1">
        <f t="shared" ref="K184:K235" si="14">K183+1</f>
        <v>219</v>
      </c>
      <c r="L184" s="1">
        <f t="shared" si="13"/>
        <v>0.333806859233771</v>
      </c>
    </row>
    <row r="185" spans="11:12">
      <c r="K185" s="1">
        <f t="shared" si="14"/>
        <v>220</v>
      </c>
      <c r="L185" s="1">
        <f t="shared" si="13"/>
        <v>0.342020143325669</v>
      </c>
    </row>
    <row r="186" spans="11:12">
      <c r="K186" s="1">
        <f t="shared" si="14"/>
        <v>221</v>
      </c>
      <c r="L186" s="1">
        <f t="shared" si="13"/>
        <v>0.350207381259468</v>
      </c>
    </row>
    <row r="187" spans="11:12">
      <c r="K187" s="1">
        <f t="shared" si="14"/>
        <v>222</v>
      </c>
      <c r="L187" s="1">
        <f t="shared" si="13"/>
        <v>0.3583679495453</v>
      </c>
    </row>
    <row r="188" spans="11:12">
      <c r="K188" s="1">
        <f t="shared" si="14"/>
        <v>223</v>
      </c>
      <c r="L188" s="1">
        <f t="shared" si="13"/>
        <v>0.366501226724297</v>
      </c>
    </row>
    <row r="189" spans="11:12">
      <c r="K189" s="1">
        <f t="shared" si="14"/>
        <v>224</v>
      </c>
      <c r="L189" s="1">
        <f t="shared" si="13"/>
        <v>0.374606593415912</v>
      </c>
    </row>
    <row r="190" spans="11:12">
      <c r="K190" s="1">
        <f t="shared" si="14"/>
        <v>225</v>
      </c>
      <c r="L190" s="1">
        <f t="shared" si="13"/>
        <v>0.38268343236509</v>
      </c>
    </row>
    <row r="191" spans="11:12">
      <c r="K191" s="1">
        <f t="shared" si="14"/>
        <v>226</v>
      </c>
      <c r="L191" s="1">
        <f t="shared" si="13"/>
        <v>0.390731128489274</v>
      </c>
    </row>
    <row r="192" spans="11:12">
      <c r="K192" s="1">
        <f t="shared" si="14"/>
        <v>227</v>
      </c>
      <c r="L192" s="1">
        <f t="shared" si="13"/>
        <v>0.398749068925246</v>
      </c>
    </row>
    <row r="193" spans="11:12">
      <c r="K193" s="1">
        <f t="shared" si="14"/>
        <v>228</v>
      </c>
      <c r="L193" s="1">
        <f t="shared" si="13"/>
        <v>0.4067366430758</v>
      </c>
    </row>
    <row r="194" spans="11:12">
      <c r="K194" s="1">
        <f t="shared" si="14"/>
        <v>229</v>
      </c>
      <c r="L194" s="1">
        <f t="shared" si="13"/>
        <v>0.414693242656239</v>
      </c>
    </row>
    <row r="195" spans="11:12">
      <c r="K195" s="1">
        <f t="shared" si="14"/>
        <v>230</v>
      </c>
      <c r="L195" s="1">
        <f t="shared" si="13"/>
        <v>0.422618261740699</v>
      </c>
    </row>
    <row r="196" spans="11:12">
      <c r="K196" s="1">
        <f t="shared" si="14"/>
        <v>231</v>
      </c>
      <c r="L196" s="1">
        <f t="shared" si="13"/>
        <v>0.430511096808295</v>
      </c>
    </row>
    <row r="197" spans="11:12">
      <c r="K197" s="1">
        <f t="shared" si="14"/>
        <v>232</v>
      </c>
      <c r="L197" s="1">
        <f t="shared" si="13"/>
        <v>0.438371146789078</v>
      </c>
    </row>
    <row r="198" spans="11:12">
      <c r="K198" s="1">
        <f t="shared" si="14"/>
        <v>233</v>
      </c>
      <c r="L198" s="1">
        <f t="shared" si="13"/>
        <v>0.446197813109809</v>
      </c>
    </row>
    <row r="199" spans="11:12">
      <c r="K199" s="1">
        <f t="shared" si="14"/>
        <v>234</v>
      </c>
      <c r="L199" s="1">
        <f t="shared" si="13"/>
        <v>0.453990499739547</v>
      </c>
    </row>
    <row r="200" spans="11:12">
      <c r="K200" s="1">
        <f t="shared" si="14"/>
        <v>235</v>
      </c>
      <c r="L200" s="1">
        <f t="shared" si="13"/>
        <v>0.461748613235034</v>
      </c>
    </row>
    <row r="201" spans="11:12">
      <c r="K201" s="1">
        <f t="shared" si="14"/>
        <v>236</v>
      </c>
      <c r="L201" s="1">
        <f t="shared" si="13"/>
        <v>0.469471562785891</v>
      </c>
    </row>
    <row r="202" spans="11:12">
      <c r="K202" s="1">
        <f t="shared" si="14"/>
        <v>237</v>
      </c>
      <c r="L202" s="1">
        <f t="shared" si="13"/>
        <v>0.477158760259608</v>
      </c>
    </row>
    <row r="203" spans="11:12">
      <c r="K203" s="1">
        <f t="shared" si="14"/>
        <v>238</v>
      </c>
      <c r="L203" s="1">
        <f t="shared" si="13"/>
        <v>0.484809620246337</v>
      </c>
    </row>
    <row r="204" spans="11:12">
      <c r="K204" s="1">
        <f t="shared" si="14"/>
        <v>239</v>
      </c>
      <c r="L204" s="1">
        <f t="shared" si="13"/>
        <v>0.492423560103467</v>
      </c>
    </row>
    <row r="205" spans="11:12">
      <c r="K205" s="1">
        <f t="shared" si="14"/>
        <v>240</v>
      </c>
      <c r="L205" s="1">
        <f t="shared" si="13"/>
        <v>0.5</v>
      </c>
    </row>
    <row r="206" spans="11:12">
      <c r="K206" s="1">
        <f t="shared" si="14"/>
        <v>241</v>
      </c>
      <c r="L206" s="1">
        <f t="shared" si="13"/>
        <v>0.507538362960704</v>
      </c>
    </row>
    <row r="207" spans="11:12">
      <c r="K207" s="1">
        <f t="shared" si="14"/>
        <v>242</v>
      </c>
      <c r="L207" s="1">
        <f t="shared" si="13"/>
        <v>0.515038074910054</v>
      </c>
    </row>
    <row r="208" spans="11:12">
      <c r="K208" s="1">
        <f t="shared" si="14"/>
        <v>243</v>
      </c>
      <c r="L208" s="1">
        <f t="shared" si="13"/>
        <v>0.522498564715949</v>
      </c>
    </row>
    <row r="209" spans="11:12">
      <c r="K209" s="1">
        <f t="shared" si="14"/>
        <v>244</v>
      </c>
      <c r="L209" s="1">
        <f t="shared" si="13"/>
        <v>0.529919264233205</v>
      </c>
    </row>
    <row r="210" spans="11:12">
      <c r="K210" s="1">
        <f t="shared" si="14"/>
        <v>245</v>
      </c>
      <c r="L210" s="1">
        <f t="shared" si="13"/>
        <v>0.537299608346824</v>
      </c>
    </row>
    <row r="211" spans="11:12">
      <c r="K211" s="1">
        <f t="shared" si="14"/>
        <v>246</v>
      </c>
      <c r="L211" s="1">
        <f t="shared" si="13"/>
        <v>0.544639035015027</v>
      </c>
    </row>
    <row r="212" spans="11:12">
      <c r="K212" s="1">
        <f t="shared" si="14"/>
        <v>247</v>
      </c>
      <c r="L212" s="1">
        <f t="shared" si="13"/>
        <v>0.551936985312058</v>
      </c>
    </row>
    <row r="213" spans="11:12">
      <c r="K213" s="1">
        <f t="shared" si="14"/>
        <v>248</v>
      </c>
      <c r="L213" s="1">
        <f t="shared" si="13"/>
        <v>0.559192903470747</v>
      </c>
    </row>
    <row r="214" spans="11:12">
      <c r="K214" s="1">
        <f t="shared" si="14"/>
        <v>249</v>
      </c>
      <c r="L214" s="1">
        <f t="shared" si="13"/>
        <v>0.566406236924833</v>
      </c>
    </row>
    <row r="215" spans="11:12">
      <c r="K215" s="1">
        <f t="shared" si="14"/>
        <v>250</v>
      </c>
      <c r="L215" s="1">
        <f t="shared" si="13"/>
        <v>0.573576436351046</v>
      </c>
    </row>
    <row r="216" spans="11:12">
      <c r="K216" s="1">
        <f t="shared" si="14"/>
        <v>251</v>
      </c>
      <c r="L216" s="1">
        <f t="shared" si="13"/>
        <v>0.58070295571094</v>
      </c>
    </row>
    <row r="217" spans="11:12">
      <c r="K217" s="1">
        <f t="shared" si="14"/>
        <v>252</v>
      </c>
      <c r="L217" s="1">
        <f t="shared" si="13"/>
        <v>0.587785252292473</v>
      </c>
    </row>
    <row r="218" spans="11:12">
      <c r="K218" s="1">
        <f t="shared" si="14"/>
        <v>253</v>
      </c>
      <c r="L218" s="1">
        <f t="shared" si="13"/>
        <v>0.594822786751341</v>
      </c>
    </row>
    <row r="219" spans="11:12">
      <c r="K219" s="1">
        <f t="shared" si="14"/>
        <v>254</v>
      </c>
      <c r="L219" s="1">
        <f t="shared" si="13"/>
        <v>0.601815023152048</v>
      </c>
    </row>
    <row r="220" spans="11:12">
      <c r="K220" s="1">
        <f t="shared" si="14"/>
        <v>255</v>
      </c>
      <c r="L220" s="1">
        <f t="shared" si="13"/>
        <v>0.608761429008721</v>
      </c>
    </row>
    <row r="221" spans="11:12">
      <c r="K221" s="1">
        <f t="shared" si="14"/>
        <v>256</v>
      </c>
      <c r="L221" s="1">
        <f t="shared" si="13"/>
        <v>0.615661475325658</v>
      </c>
    </row>
    <row r="222" spans="11:12">
      <c r="K222" s="1">
        <f t="shared" si="14"/>
        <v>257</v>
      </c>
      <c r="L222" s="1">
        <f t="shared" si="13"/>
        <v>0.622514636637619</v>
      </c>
    </row>
    <row r="223" spans="11:12">
      <c r="K223" s="1">
        <f t="shared" si="14"/>
        <v>258</v>
      </c>
      <c r="L223" s="1">
        <f t="shared" si="13"/>
        <v>0.629320391049837</v>
      </c>
    </row>
    <row r="224" spans="11:12">
      <c r="K224" s="1">
        <f t="shared" si="14"/>
        <v>259</v>
      </c>
      <c r="L224" s="1">
        <f t="shared" si="13"/>
        <v>0.636078220277764</v>
      </c>
    </row>
    <row r="225" spans="11:12">
      <c r="K225" s="1">
        <f t="shared" si="14"/>
        <v>260</v>
      </c>
      <c r="L225" s="1">
        <f t="shared" si="13"/>
        <v>0.642787609686539</v>
      </c>
    </row>
    <row r="226" spans="11:12">
      <c r="K226" s="1">
        <f t="shared" si="14"/>
        <v>261</v>
      </c>
      <c r="L226" s="1">
        <f t="shared" si="13"/>
        <v>0.649448048330184</v>
      </c>
    </row>
    <row r="227" spans="11:12">
      <c r="K227" s="1">
        <f t="shared" si="14"/>
        <v>262</v>
      </c>
      <c r="L227" s="1">
        <f t="shared" si="13"/>
        <v>0.656059028990507</v>
      </c>
    </row>
    <row r="228" spans="11:12">
      <c r="K228" s="1">
        <f t="shared" si="14"/>
        <v>263</v>
      </c>
      <c r="L228" s="1">
        <f t="shared" si="13"/>
        <v>0.662620048215738</v>
      </c>
    </row>
    <row r="229" spans="11:12">
      <c r="K229" s="1">
        <f t="shared" si="14"/>
        <v>264</v>
      </c>
      <c r="L229" s="1">
        <f t="shared" si="13"/>
        <v>0.669130606358858</v>
      </c>
    </row>
    <row r="230" spans="11:12">
      <c r="K230" s="1">
        <f t="shared" si="14"/>
        <v>265</v>
      </c>
      <c r="L230" s="1">
        <f t="shared" si="13"/>
        <v>0.67559020761566</v>
      </c>
    </row>
    <row r="231" spans="11:12">
      <c r="K231" s="1">
        <f t="shared" si="14"/>
        <v>266</v>
      </c>
      <c r="L231" s="1">
        <f t="shared" si="13"/>
        <v>0.681998360062498</v>
      </c>
    </row>
    <row r="232" spans="11:12">
      <c r="K232" s="1">
        <f t="shared" si="14"/>
        <v>267</v>
      </c>
      <c r="L232" s="1">
        <f t="shared" si="13"/>
        <v>0.688354575693754</v>
      </c>
    </row>
    <row r="233" spans="11:12">
      <c r="K233" s="1">
        <f t="shared" si="14"/>
        <v>268</v>
      </c>
      <c r="L233" s="1">
        <f t="shared" si="13"/>
        <v>0.694658370458997</v>
      </c>
    </row>
    <row r="234" spans="11:12">
      <c r="K234" s="1">
        <f t="shared" si="14"/>
        <v>269</v>
      </c>
      <c r="L234" s="1">
        <f t="shared" si="13"/>
        <v>0.700909264299851</v>
      </c>
    </row>
    <row r="235" spans="11:12">
      <c r="K235" s="1">
        <f t="shared" si="14"/>
        <v>270</v>
      </c>
      <c r="L235" s="1">
        <f t="shared" si="13"/>
        <v>0.707106781186547</v>
      </c>
    </row>
  </sheetData>
  <mergeCells count="7">
    <mergeCell ref="D1:I1"/>
    <mergeCell ref="D2:E2"/>
    <mergeCell ref="F2:G2"/>
    <mergeCell ref="H2:I2"/>
    <mergeCell ref="J2:K2"/>
    <mergeCell ref="L2:M2"/>
    <mergeCell ref="N2:O2"/>
  </mergeCells>
  <pageMargins left="0.75" right="0.75" top="1" bottom="1" header="0.5" footer="0.5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zoomScale="115" zoomScaleNormal="115" topLeftCell="A16" workbookViewId="0">
      <selection activeCell="J2" sqref="J2:K2"/>
    </sheetView>
  </sheetViews>
  <sheetFormatPr defaultColWidth="11.5333333333333" defaultRowHeight="12.8" customHeight="1"/>
  <cols>
    <col min="1" max="2" width="25.9619047619048" style="13" customWidth="1"/>
    <col min="3" max="3" width="25.9619047619048" style="3" customWidth="1"/>
    <col min="4" max="4" width="17.2666666666667" style="2" customWidth="1"/>
    <col min="5" max="5" width="17.2666666666667" style="1" customWidth="1"/>
    <col min="6" max="6" width="18.2666666666667" style="4" customWidth="1"/>
    <col min="7" max="7" width="18.6285714285714" style="3" customWidth="1"/>
    <col min="8" max="8" width="19.5142857142857" style="3" customWidth="1"/>
    <col min="10" max="12" width="12.8571428571429" customWidth="1"/>
    <col min="13" max="13" width="14.1428571428571" style="14" customWidth="1"/>
    <col min="14" max="14" width="12.8571428571429" customWidth="1"/>
  </cols>
  <sheetData>
    <row r="1" customHeight="1" spans="1:8">
      <c r="A1" s="13" t="s">
        <v>127</v>
      </c>
      <c r="C1" s="13"/>
      <c r="D1" s="13"/>
      <c r="E1" s="13"/>
      <c r="F1" s="13"/>
      <c r="G1" s="13"/>
      <c r="H1" s="13"/>
    </row>
    <row r="2" customHeight="1" spans="1:8">
      <c r="A2" s="15" t="s">
        <v>128</v>
      </c>
      <c r="B2" s="15"/>
      <c r="C2" s="16" t="s">
        <v>129</v>
      </c>
      <c r="D2" s="16"/>
      <c r="E2" s="1" t="s">
        <v>130</v>
      </c>
      <c r="F2" s="4" t="s">
        <v>131</v>
      </c>
      <c r="G2" s="3" t="s">
        <v>132</v>
      </c>
      <c r="H2" s="3" t="s">
        <v>133</v>
      </c>
    </row>
    <row r="3" customHeight="1" spans="1:5">
      <c r="A3" s="13" t="s">
        <v>134</v>
      </c>
      <c r="B3" s="13" t="s">
        <v>135</v>
      </c>
      <c r="C3" s="17" t="s">
        <v>136</v>
      </c>
      <c r="D3" s="3" t="s">
        <v>137</v>
      </c>
      <c r="E3" s="1" t="s">
        <v>138</v>
      </c>
    </row>
    <row r="4" customHeight="1" spans="1:8">
      <c r="A4" s="18">
        <v>0</v>
      </c>
      <c r="B4" s="18">
        <f t="shared" ref="B4:B24" si="0">A4+273</f>
        <v>273</v>
      </c>
      <c r="C4" s="17">
        <f t="shared" ref="C4:C24" si="1">0.61121*EXP(((18.678-A4/234.5)*(A4/(257.14+A4))))</f>
        <v>0.61121</v>
      </c>
      <c r="D4" s="19">
        <f t="shared" ref="D4:D24" si="2">C4/101.325</f>
        <v>0.00603217369849494</v>
      </c>
      <c r="E4" s="1">
        <f t="shared" ref="E4:E24" si="3">87.74-0.40008*A4+9.398*0.0001*A4^2-1.41*0.000001*A4^3</f>
        <v>87.74</v>
      </c>
      <c r="F4" s="4">
        <f t="shared" ref="F4:F24" si="4">1.7037*1E-30+3.01*1E-34*B4-2*1E-37*B4^2</f>
        <v>1.7709672e-30</v>
      </c>
      <c r="G4" s="4">
        <f t="shared" ref="G4:G24" si="5">1.5343*1E-30+2.88*1E-34*B4-1.63*1E-37*B4^2</f>
        <v>1.600775773e-30</v>
      </c>
      <c r="H4" s="4">
        <f t="shared" ref="H4:H24" si="6">1.62526*1E-30+1.649*1E-34*B4-0*1E-37*B4^2</f>
        <v>1.6702777e-30</v>
      </c>
    </row>
    <row r="5" customHeight="1" spans="1:8">
      <c r="A5" s="18">
        <v>5</v>
      </c>
      <c r="B5" s="18">
        <f t="shared" si="0"/>
        <v>278</v>
      </c>
      <c r="C5" s="17">
        <f t="shared" si="1"/>
        <v>0.872440033637292</v>
      </c>
      <c r="D5" s="19">
        <f t="shared" si="2"/>
        <v>0.00861031368011144</v>
      </c>
      <c r="E5" s="1">
        <f t="shared" si="3"/>
        <v>85.76291875</v>
      </c>
      <c r="F5" s="4">
        <f t="shared" si="4"/>
        <v>1.7719212e-30</v>
      </c>
      <c r="G5" s="4">
        <f t="shared" si="5"/>
        <v>1.601766708e-30</v>
      </c>
      <c r="H5" s="4">
        <f t="shared" si="6"/>
        <v>1.6711022e-30</v>
      </c>
    </row>
    <row r="6" customHeight="1" spans="1:8">
      <c r="A6" s="18">
        <v>10</v>
      </c>
      <c r="B6" s="18">
        <f t="shared" si="0"/>
        <v>283</v>
      </c>
      <c r="C6" s="17">
        <f t="shared" si="1"/>
        <v>1.22786016957787</v>
      </c>
      <c r="D6" s="19">
        <f t="shared" si="2"/>
        <v>0.0121180376963027</v>
      </c>
      <c r="E6" s="1">
        <f t="shared" si="3"/>
        <v>83.83177</v>
      </c>
      <c r="F6" s="4">
        <f t="shared" si="4"/>
        <v>1.7728652e-30</v>
      </c>
      <c r="G6" s="4">
        <f t="shared" si="5"/>
        <v>1.602749493e-30</v>
      </c>
      <c r="H6" s="4">
        <f t="shared" si="6"/>
        <v>1.6719267e-30</v>
      </c>
    </row>
    <row r="7" customHeight="1" spans="1:8">
      <c r="A7" s="18">
        <v>15</v>
      </c>
      <c r="B7" s="18">
        <f t="shared" si="0"/>
        <v>288</v>
      </c>
      <c r="C7" s="17">
        <f t="shared" si="1"/>
        <v>1.70517283610521</v>
      </c>
      <c r="D7" s="19">
        <f t="shared" si="2"/>
        <v>0.0168287474572436</v>
      </c>
      <c r="E7" s="1">
        <f t="shared" si="3"/>
        <v>81.94549625</v>
      </c>
      <c r="F7" s="4">
        <f t="shared" si="4"/>
        <v>1.7737992e-30</v>
      </c>
      <c r="G7" s="4">
        <f t="shared" si="5"/>
        <v>1.603724128e-30</v>
      </c>
      <c r="H7" s="4">
        <f t="shared" si="6"/>
        <v>1.6727512e-30</v>
      </c>
    </row>
    <row r="8" customHeight="1" spans="1:8">
      <c r="A8" s="18">
        <v>20</v>
      </c>
      <c r="B8" s="18">
        <f t="shared" si="0"/>
        <v>293</v>
      </c>
      <c r="C8" s="17">
        <f t="shared" si="1"/>
        <v>2.33833997845002</v>
      </c>
      <c r="D8" s="19">
        <f t="shared" si="2"/>
        <v>0.0230776213022454</v>
      </c>
      <c r="E8" s="1">
        <f t="shared" si="3"/>
        <v>80.10304</v>
      </c>
      <c r="F8" s="4">
        <f t="shared" si="4"/>
        <v>1.7747232e-30</v>
      </c>
      <c r="G8" s="4">
        <f t="shared" si="5"/>
        <v>1.604690613e-30</v>
      </c>
      <c r="H8" s="4">
        <f t="shared" si="6"/>
        <v>1.6735757e-30</v>
      </c>
    </row>
    <row r="9" customHeight="1" spans="1:8">
      <c r="A9" s="20">
        <v>25</v>
      </c>
      <c r="B9" s="20">
        <f t="shared" si="0"/>
        <v>298</v>
      </c>
      <c r="C9" s="17">
        <f t="shared" si="1"/>
        <v>3.16853141227543</v>
      </c>
      <c r="D9" s="19">
        <f t="shared" si="2"/>
        <v>0.0312709737209517</v>
      </c>
      <c r="E9" s="21">
        <f t="shared" si="3"/>
        <v>78.30334375</v>
      </c>
      <c r="F9" s="22">
        <f t="shared" si="4"/>
        <v>1.7756372e-30</v>
      </c>
      <c r="G9" s="22">
        <f t="shared" si="5"/>
        <v>1.605648948e-30</v>
      </c>
      <c r="H9" s="22">
        <f t="shared" si="6"/>
        <v>1.6744002e-30</v>
      </c>
    </row>
    <row r="10" customHeight="1" spans="1:8">
      <c r="A10" s="18">
        <v>30</v>
      </c>
      <c r="B10" s="18">
        <f t="shared" si="0"/>
        <v>303</v>
      </c>
      <c r="C10" s="17">
        <f t="shared" si="1"/>
        <v>4.24512571625229</v>
      </c>
      <c r="D10" s="19">
        <f t="shared" si="2"/>
        <v>0.0418961333950386</v>
      </c>
      <c r="E10" s="1">
        <f t="shared" si="3"/>
        <v>76.54535</v>
      </c>
      <c r="F10" s="4">
        <f t="shared" si="4"/>
        <v>1.7765412e-30</v>
      </c>
      <c r="G10" s="4">
        <f t="shared" si="5"/>
        <v>1.606599133e-30</v>
      </c>
      <c r="H10" s="4">
        <f t="shared" si="6"/>
        <v>1.6752247e-30</v>
      </c>
    </row>
    <row r="11" customHeight="1" spans="1:8">
      <c r="A11" s="18">
        <v>35</v>
      </c>
      <c r="B11" s="18">
        <f t="shared" si="0"/>
        <v>308</v>
      </c>
      <c r="C11" s="17">
        <f t="shared" si="1"/>
        <v>5.62675206367655</v>
      </c>
      <c r="D11" s="19">
        <f t="shared" si="2"/>
        <v>0.0555317252768472</v>
      </c>
      <c r="E11" s="1">
        <f t="shared" si="3"/>
        <v>74.82800125</v>
      </c>
      <c r="F11" s="4">
        <f t="shared" si="4"/>
        <v>1.7774352e-30</v>
      </c>
      <c r="G11" s="4">
        <f t="shared" si="5"/>
        <v>1.607541168e-30</v>
      </c>
      <c r="H11" s="4">
        <f t="shared" si="6"/>
        <v>1.6760492e-30</v>
      </c>
    </row>
    <row r="12" customHeight="1" spans="1:8">
      <c r="A12" s="18">
        <v>40</v>
      </c>
      <c r="B12" s="18">
        <f t="shared" si="0"/>
        <v>313</v>
      </c>
      <c r="C12" s="17">
        <f t="shared" si="1"/>
        <v>7.38235960489861</v>
      </c>
      <c r="D12" s="19">
        <f t="shared" si="2"/>
        <v>0.0728582245733887</v>
      </c>
      <c r="E12" s="1">
        <f t="shared" si="3"/>
        <v>73.15024</v>
      </c>
      <c r="F12" s="4">
        <f t="shared" si="4"/>
        <v>1.7783192e-30</v>
      </c>
      <c r="G12" s="4">
        <f t="shared" si="5"/>
        <v>1.608475053e-30</v>
      </c>
      <c r="H12" s="4">
        <f t="shared" si="6"/>
        <v>1.6768737e-30</v>
      </c>
    </row>
    <row r="13" customHeight="1" spans="1:8">
      <c r="A13" s="18">
        <v>45</v>
      </c>
      <c r="B13" s="18">
        <f t="shared" si="0"/>
        <v>318</v>
      </c>
      <c r="C13" s="17">
        <f t="shared" si="1"/>
        <v>9.59229950006137</v>
      </c>
      <c r="D13" s="19">
        <f t="shared" si="2"/>
        <v>0.0946686355791894</v>
      </c>
      <c r="E13" s="1">
        <f t="shared" si="3"/>
        <v>71.51100875</v>
      </c>
      <c r="F13" s="4">
        <f t="shared" si="4"/>
        <v>1.7791932e-30</v>
      </c>
      <c r="G13" s="4">
        <f t="shared" si="5"/>
        <v>1.609400788e-30</v>
      </c>
      <c r="H13" s="4">
        <f t="shared" si="6"/>
        <v>1.6776982e-30</v>
      </c>
    </row>
    <row r="14" customHeight="1" spans="1:8">
      <c r="A14" s="18">
        <v>50</v>
      </c>
      <c r="B14" s="18">
        <f t="shared" si="0"/>
        <v>323</v>
      </c>
      <c r="C14" s="17">
        <f t="shared" si="1"/>
        <v>12.3494035102832</v>
      </c>
      <c r="D14" s="19">
        <f t="shared" si="2"/>
        <v>0.121879136543629</v>
      </c>
      <c r="E14" s="1">
        <f t="shared" si="3"/>
        <v>69.90925</v>
      </c>
      <c r="F14" s="4">
        <f t="shared" si="4"/>
        <v>1.7800572e-30</v>
      </c>
      <c r="G14" s="4">
        <f t="shared" si="5"/>
        <v>1.610318373e-30</v>
      </c>
      <c r="H14" s="4">
        <f t="shared" si="6"/>
        <v>1.6785227e-30</v>
      </c>
    </row>
    <row r="15" customHeight="1" spans="1:8">
      <c r="A15" s="18">
        <v>55</v>
      </c>
      <c r="B15" s="18">
        <f t="shared" si="0"/>
        <v>328</v>
      </c>
      <c r="C15" s="17">
        <f t="shared" si="1"/>
        <v>15.7600422173217</v>
      </c>
      <c r="D15" s="19">
        <f t="shared" si="2"/>
        <v>0.155539523487014</v>
      </c>
      <c r="E15" s="1">
        <f t="shared" si="3"/>
        <v>68.34390625</v>
      </c>
      <c r="F15" s="4">
        <f t="shared" si="4"/>
        <v>1.7809112e-30</v>
      </c>
      <c r="G15" s="4">
        <f t="shared" si="5"/>
        <v>1.611227808e-30</v>
      </c>
      <c r="H15" s="4">
        <f t="shared" si="6"/>
        <v>1.6793472e-30</v>
      </c>
    </row>
    <row r="16" customHeight="1" spans="1:8">
      <c r="A16" s="18">
        <v>60</v>
      </c>
      <c r="B16" s="18">
        <f t="shared" si="0"/>
        <v>333</v>
      </c>
      <c r="C16" s="17">
        <f t="shared" si="1"/>
        <v>19.9451454762416</v>
      </c>
      <c r="D16" s="19">
        <f t="shared" si="2"/>
        <v>0.196843281285385</v>
      </c>
      <c r="E16" s="1">
        <f t="shared" si="3"/>
        <v>66.81392</v>
      </c>
      <c r="F16" s="4">
        <f t="shared" si="4"/>
        <v>1.7817552e-30</v>
      </c>
      <c r="G16" s="4">
        <f t="shared" si="5"/>
        <v>1.612129093e-30</v>
      </c>
      <c r="H16" s="4">
        <f t="shared" si="6"/>
        <v>1.6801717e-30</v>
      </c>
    </row>
    <row r="17" customHeight="1" spans="1:8">
      <c r="A17" s="18">
        <v>65</v>
      </c>
      <c r="B17" s="18">
        <f t="shared" si="0"/>
        <v>338</v>
      </c>
      <c r="C17" s="17">
        <f t="shared" si="1"/>
        <v>25.0411676192482</v>
      </c>
      <c r="D17" s="19">
        <f t="shared" si="2"/>
        <v>0.247137109491717</v>
      </c>
      <c r="E17" s="1">
        <f t="shared" si="3"/>
        <v>65.31823375</v>
      </c>
      <c r="F17" s="4">
        <f t="shared" si="4"/>
        <v>1.7825892e-30</v>
      </c>
      <c r="G17" s="4">
        <f t="shared" si="5"/>
        <v>1.613022228e-30</v>
      </c>
      <c r="H17" s="4">
        <f t="shared" si="6"/>
        <v>1.6809962e-30</v>
      </c>
    </row>
    <row r="18" customHeight="1" spans="1:8">
      <c r="A18" s="18">
        <v>70</v>
      </c>
      <c r="B18" s="18">
        <f t="shared" si="0"/>
        <v>343</v>
      </c>
      <c r="C18" s="17">
        <f t="shared" si="1"/>
        <v>31.2009802161752</v>
      </c>
      <c r="D18" s="19">
        <f t="shared" si="2"/>
        <v>0.307929733196893</v>
      </c>
      <c r="E18" s="1">
        <f t="shared" si="3"/>
        <v>63.85579</v>
      </c>
      <c r="F18" s="4">
        <f t="shared" si="4"/>
        <v>1.7834132e-30</v>
      </c>
      <c r="G18" s="4">
        <f t="shared" si="5"/>
        <v>1.613907213e-30</v>
      </c>
      <c r="H18" s="4">
        <f t="shared" si="6"/>
        <v>1.6818207e-30</v>
      </c>
    </row>
    <row r="19" customHeight="1" spans="1:8">
      <c r="A19" s="18">
        <v>75</v>
      </c>
      <c r="B19" s="18">
        <f t="shared" si="0"/>
        <v>348</v>
      </c>
      <c r="C19" s="17">
        <f t="shared" si="1"/>
        <v>38.5946758418454</v>
      </c>
      <c r="D19" s="19">
        <f t="shared" si="2"/>
        <v>0.380899835596797</v>
      </c>
      <c r="E19" s="1">
        <f t="shared" si="3"/>
        <v>62.42553125</v>
      </c>
      <c r="F19" s="4">
        <f t="shared" si="4"/>
        <v>1.7842272e-30</v>
      </c>
      <c r="G19" s="4">
        <f t="shared" si="5"/>
        <v>1.614784048e-30</v>
      </c>
      <c r="H19" s="4">
        <f t="shared" si="6"/>
        <v>1.6826452e-30</v>
      </c>
    </row>
    <row r="20" customHeight="1" spans="1:8">
      <c r="A20" s="18">
        <v>80</v>
      </c>
      <c r="B20" s="18">
        <f t="shared" si="0"/>
        <v>353</v>
      </c>
      <c r="C20" s="17">
        <f t="shared" si="1"/>
        <v>47.4102672769701</v>
      </c>
      <c r="D20" s="19">
        <f t="shared" si="2"/>
        <v>0.467902958568666</v>
      </c>
      <c r="E20" s="1">
        <f t="shared" si="3"/>
        <v>61.0264</v>
      </c>
      <c r="F20" s="4">
        <f t="shared" si="4"/>
        <v>1.7850312e-30</v>
      </c>
      <c r="G20" s="4">
        <f t="shared" si="5"/>
        <v>1.615652733e-30</v>
      </c>
      <c r="H20" s="4">
        <f t="shared" si="6"/>
        <v>1.6834697e-30</v>
      </c>
    </row>
    <row r="21" customHeight="1" spans="1:8">
      <c r="A21" s="18">
        <v>85</v>
      </c>
      <c r="B21" s="18">
        <f t="shared" si="0"/>
        <v>358</v>
      </c>
      <c r="C21" s="17">
        <f t="shared" si="1"/>
        <v>57.8542678440207</v>
      </c>
      <c r="D21" s="19">
        <f t="shared" si="2"/>
        <v>0.570977230140841</v>
      </c>
      <c r="E21" s="1">
        <f t="shared" si="3"/>
        <v>59.65733875</v>
      </c>
      <c r="F21" s="4">
        <f t="shared" si="4"/>
        <v>1.7858252e-30</v>
      </c>
      <c r="G21" s="4">
        <f t="shared" si="5"/>
        <v>1.616513268e-30</v>
      </c>
      <c r="H21" s="4">
        <f t="shared" si="6"/>
        <v>1.6842942e-30</v>
      </c>
    </row>
    <row r="22" customHeight="1" spans="1:8">
      <c r="A22" s="18">
        <v>90</v>
      </c>
      <c r="B22" s="18">
        <f t="shared" si="0"/>
        <v>363</v>
      </c>
      <c r="C22" s="17">
        <f t="shared" si="1"/>
        <v>70.152140113234</v>
      </c>
      <c r="D22" s="19">
        <f t="shared" si="2"/>
        <v>0.692347792876724</v>
      </c>
      <c r="E22" s="1">
        <f t="shared" si="3"/>
        <v>58.31729</v>
      </c>
      <c r="F22" s="4">
        <f t="shared" si="4"/>
        <v>1.7866092e-30</v>
      </c>
      <c r="G22" s="4">
        <f t="shared" si="5"/>
        <v>1.617365653e-30</v>
      </c>
      <c r="H22" s="4">
        <f t="shared" si="6"/>
        <v>1.6851187e-30</v>
      </c>
    </row>
    <row r="23" customHeight="1" spans="1:8">
      <c r="A23" s="18">
        <v>95</v>
      </c>
      <c r="B23" s="18">
        <f t="shared" si="0"/>
        <v>368</v>
      </c>
      <c r="C23" s="17">
        <f t="shared" si="1"/>
        <v>84.5486019629984</v>
      </c>
      <c r="D23" s="19">
        <f t="shared" si="2"/>
        <v>0.834429824455942</v>
      </c>
      <c r="E23" s="1">
        <f t="shared" si="3"/>
        <v>57.00519625</v>
      </c>
      <c r="F23" s="4">
        <f t="shared" si="4"/>
        <v>1.7873832e-30</v>
      </c>
      <c r="G23" s="4">
        <f t="shared" si="5"/>
        <v>1.618209888e-30</v>
      </c>
      <c r="H23" s="4">
        <f t="shared" si="6"/>
        <v>1.6859432e-30</v>
      </c>
    </row>
    <row r="24" customHeight="1" spans="1:8">
      <c r="A24" s="18">
        <v>100</v>
      </c>
      <c r="B24" s="18">
        <f t="shared" si="0"/>
        <v>373</v>
      </c>
      <c r="C24" s="17">
        <f t="shared" si="1"/>
        <v>101.307780897225</v>
      </c>
      <c r="D24" s="19">
        <f t="shared" si="2"/>
        <v>0.99983006066839</v>
      </c>
      <c r="E24" s="1">
        <f t="shared" si="3"/>
        <v>55.72</v>
      </c>
      <c r="F24" s="4">
        <f t="shared" si="4"/>
        <v>1.7881472e-30</v>
      </c>
      <c r="G24" s="4">
        <f t="shared" si="5"/>
        <v>1.619045973e-30</v>
      </c>
      <c r="H24" s="4">
        <f t="shared" si="6"/>
        <v>1.6867677e-30</v>
      </c>
    </row>
    <row r="26" customHeight="1" spans="1:8">
      <c r="A26" s="13" t="s">
        <v>139</v>
      </c>
      <c r="C26" s="13"/>
      <c r="D26" s="13"/>
      <c r="E26" s="13"/>
      <c r="F26" s="13"/>
      <c r="G26" s="13"/>
      <c r="H26" s="13"/>
    </row>
    <row r="27" customHeight="1" spans="1:5">
      <c r="A27" s="15" t="s">
        <v>128</v>
      </c>
      <c r="B27" s="15"/>
      <c r="C27" s="16" t="s">
        <v>129</v>
      </c>
      <c r="D27" s="16"/>
      <c r="E27" s="1" t="s">
        <v>140</v>
      </c>
    </row>
    <row r="28" customHeight="1" spans="1:5">
      <c r="A28" s="13" t="s">
        <v>134</v>
      </c>
      <c r="B28" s="13" t="s">
        <v>135</v>
      </c>
      <c r="C28" s="17" t="s">
        <v>136</v>
      </c>
      <c r="D28" s="3" t="s">
        <v>137</v>
      </c>
      <c r="E28" s="1" t="s">
        <v>138</v>
      </c>
    </row>
    <row r="29" customHeight="1" spans="1:8">
      <c r="A29" s="18">
        <v>0</v>
      </c>
      <c r="B29" s="18">
        <f t="shared" ref="B29:B49" si="7">A29+273</f>
        <v>273</v>
      </c>
      <c r="C29" s="17">
        <f>0.133322*10^('Acetone Calculations'!$AF$46-'Acetone Calculations'!$AG$46/(A29+'Acetone Calculations'!$AH$46))</f>
        <v>9.3515763818382</v>
      </c>
      <c r="D29" s="19">
        <f t="shared" ref="D29:D49" si="8">C29/101.325</f>
        <v>0.0922928831170806</v>
      </c>
      <c r="G29" s="4"/>
      <c r="H29" s="4"/>
    </row>
    <row r="30" customHeight="1" spans="1:8">
      <c r="A30" s="18">
        <v>5</v>
      </c>
      <c r="B30" s="18">
        <f t="shared" si="7"/>
        <v>278</v>
      </c>
      <c r="C30" s="17">
        <f>0.133322*10^('Acetone Calculations'!$AF$46-'Acetone Calculations'!$AG$46/(A30+'Acetone Calculations'!$AH$46))</f>
        <v>12.1114930811284</v>
      </c>
      <c r="D30" s="19">
        <f t="shared" si="8"/>
        <v>0.119531143164356</v>
      </c>
      <c r="G30" s="4"/>
      <c r="H30" s="4"/>
    </row>
    <row r="31" customHeight="1" spans="1:8">
      <c r="A31" s="18">
        <v>10</v>
      </c>
      <c r="B31" s="18">
        <f t="shared" si="7"/>
        <v>283</v>
      </c>
      <c r="C31" s="17">
        <f>0.133322*10^('Acetone Calculations'!$AF$46-'Acetone Calculations'!$AG$46/(A31+'Acetone Calculations'!$AH$46))</f>
        <v>15.51759032893</v>
      </c>
      <c r="D31" s="19">
        <f t="shared" si="8"/>
        <v>0.153146709389884</v>
      </c>
      <c r="E31" s="1">
        <v>22.25</v>
      </c>
      <c r="G31" s="4"/>
      <c r="H31" s="4"/>
    </row>
    <row r="32" customHeight="1" spans="1:8">
      <c r="A32" s="18">
        <v>15</v>
      </c>
      <c r="B32" s="18">
        <f t="shared" si="7"/>
        <v>288</v>
      </c>
      <c r="C32" s="17">
        <f>0.133322*10^('Acetone Calculations'!$AF$46-'Acetone Calculations'!$AG$46/(A32+'Acetone Calculations'!$AH$46))</f>
        <v>19.6812158159467</v>
      </c>
      <c r="D32" s="19">
        <f t="shared" si="8"/>
        <v>0.19423849806017</v>
      </c>
      <c r="G32" s="4"/>
      <c r="H32" s="4"/>
    </row>
    <row r="33" customHeight="1" spans="1:8">
      <c r="A33" s="18">
        <v>20</v>
      </c>
      <c r="B33" s="18">
        <f t="shared" si="7"/>
        <v>293</v>
      </c>
      <c r="C33" s="17">
        <f>0.133322*10^('Acetone Calculations'!$AF$46-'Acetone Calculations'!$AG$46/(A33+'Acetone Calculations'!$AH$46))</f>
        <v>24.7254897449536</v>
      </c>
      <c r="D33" s="19">
        <f t="shared" si="8"/>
        <v>0.244021611102429</v>
      </c>
      <c r="E33" s="1">
        <v>21.4</v>
      </c>
      <c r="G33" s="4"/>
      <c r="H33" s="4"/>
    </row>
    <row r="34" customHeight="1" spans="1:8">
      <c r="A34" s="20">
        <v>25</v>
      </c>
      <c r="B34" s="20">
        <f t="shared" si="7"/>
        <v>298</v>
      </c>
      <c r="C34" s="17">
        <f>0.133322*10^('Acetone Calculations'!$AF$46-'Acetone Calculations'!$AG$46/(A34+'Acetone Calculations'!$AH$46))</f>
        <v>30.7855385336407</v>
      </c>
      <c r="D34" s="19">
        <f t="shared" si="8"/>
        <v>0.303829642572323</v>
      </c>
      <c r="E34" s="21">
        <v>20.7</v>
      </c>
      <c r="F34" s="22"/>
      <c r="G34" s="22"/>
      <c r="H34" s="22"/>
    </row>
    <row r="35" customHeight="1" spans="1:8">
      <c r="A35" s="18">
        <v>30</v>
      </c>
      <c r="B35" s="18">
        <f t="shared" si="7"/>
        <v>303</v>
      </c>
      <c r="C35" s="17">
        <f>0.133322*10^('Acetone Calculations'!$AF$46-'Acetone Calculations'!$AG$46/(A35+'Acetone Calculations'!$AH$46))</f>
        <v>38.0086338490625</v>
      </c>
      <c r="D35" s="19">
        <f t="shared" si="8"/>
        <v>0.375116050817296</v>
      </c>
      <c r="E35" s="1">
        <v>20.2</v>
      </c>
      <c r="G35" s="4"/>
      <c r="H35" s="4"/>
    </row>
    <row r="36" customHeight="1" spans="1:8">
      <c r="A36" s="18">
        <v>35</v>
      </c>
      <c r="B36" s="18">
        <f t="shared" si="7"/>
        <v>308</v>
      </c>
      <c r="C36" s="17">
        <f>0.133322*10^('Acetone Calculations'!$AF$46-'Acetone Calculations'!$AG$46/(A36+'Acetone Calculations'!$AH$46))</f>
        <v>46.554236616751</v>
      </c>
      <c r="D36" s="19">
        <f t="shared" si="8"/>
        <v>0.459454592812741</v>
      </c>
      <c r="G36" s="4"/>
      <c r="H36" s="4"/>
    </row>
    <row r="37" customHeight="1" spans="1:8">
      <c r="A37" s="18">
        <v>40</v>
      </c>
      <c r="B37" s="18">
        <f t="shared" si="7"/>
        <v>313</v>
      </c>
      <c r="C37" s="17">
        <f>0.133322*10^('Acetone Calculations'!$AF$46-'Acetone Calculations'!$AG$46/(A37+'Acetone Calculations'!$AH$46))</f>
        <v>56.5939472189563</v>
      </c>
      <c r="D37" s="19">
        <f t="shared" si="8"/>
        <v>0.558538832656859</v>
      </c>
      <c r="E37" s="1">
        <v>18.83</v>
      </c>
      <c r="G37" s="4"/>
      <c r="H37" s="4"/>
    </row>
    <row r="38" customHeight="1" spans="1:8">
      <c r="A38" s="18">
        <v>45</v>
      </c>
      <c r="B38" s="18">
        <f t="shared" si="7"/>
        <v>318</v>
      </c>
      <c r="C38" s="17">
        <f>0.133322*10^('Acetone Calculations'!$AF$46-'Acetone Calculations'!$AG$46/(A38+'Acetone Calculations'!$AH$46))</f>
        <v>68.3113644970086</v>
      </c>
      <c r="D38" s="19">
        <f t="shared" si="8"/>
        <v>0.674180750032159</v>
      </c>
      <c r="G38" s="4"/>
      <c r="H38" s="4"/>
    </row>
    <row r="39" customHeight="1" spans="1:8">
      <c r="A39" s="18">
        <v>50</v>
      </c>
      <c r="B39" s="18">
        <f t="shared" si="7"/>
        <v>323</v>
      </c>
      <c r="C39" s="17">
        <f>0.133322*10^('Acetone Calculations'!$AF$46-'Acetone Calculations'!$AG$46/(A39+'Acetone Calculations'!$AH$46))</f>
        <v>81.9018573881422</v>
      </c>
      <c r="D39" s="19">
        <f t="shared" si="8"/>
        <v>0.808308486436143</v>
      </c>
      <c r="E39" s="1">
        <v>17.63</v>
      </c>
      <c r="G39" s="4"/>
      <c r="H39" s="4"/>
    </row>
    <row r="40" customHeight="1" spans="1:8">
      <c r="A40" s="18">
        <v>55</v>
      </c>
      <c r="B40" s="18">
        <f t="shared" si="7"/>
        <v>328</v>
      </c>
      <c r="C40" s="17">
        <f>0.133322*10^('Acetone Calculations'!$AF$46-'Acetone Calculations'!$AG$46/(A40+'Acetone Calculations'!$AH$46))</f>
        <v>97.5722540511164</v>
      </c>
      <c r="D40" s="19">
        <f t="shared" si="8"/>
        <v>0.962963277089725</v>
      </c>
      <c r="G40" s="4"/>
      <c r="H40" s="4"/>
    </row>
    <row r="41" customHeight="1" spans="1:8">
      <c r="A41" s="18">
        <v>60</v>
      </c>
      <c r="B41" s="18">
        <f t="shared" si="7"/>
        <v>333</v>
      </c>
      <c r="C41" s="17">
        <f>0.133322*10^('Acetone Calculations'!$AF$46-'Acetone Calculations'!$AG$46/(A41+'Acetone Calculations'!$AH$46))</f>
        <v>115.540454168088</v>
      </c>
      <c r="D41" s="19">
        <f t="shared" si="8"/>
        <v>1.14029562465421</v>
      </c>
      <c r="G41" s="4"/>
      <c r="H41" s="4"/>
    </row>
    <row r="42" customHeight="1" spans="1:8">
      <c r="A42" s="18">
        <v>65</v>
      </c>
      <c r="B42" s="18">
        <f t="shared" si="7"/>
        <v>338</v>
      </c>
      <c r="C42" s="17">
        <f>0.133322*10^('Acetone Calculations'!$AF$46-'Acetone Calculations'!$AG$46/(A42+'Acetone Calculations'!$AH$46))</f>
        <v>136.034970758426</v>
      </c>
      <c r="D42" s="19">
        <f t="shared" si="8"/>
        <v>1.34256077728523</v>
      </c>
      <c r="G42" s="4"/>
      <c r="H42" s="4"/>
    </row>
    <row r="43" customHeight="1" spans="1:8">
      <c r="A43" s="18">
        <v>70</v>
      </c>
      <c r="B43" s="18">
        <f t="shared" si="7"/>
        <v>343</v>
      </c>
      <c r="C43" s="17">
        <f>0.133322*10^('Acetone Calculations'!$AF$46-'Acetone Calculations'!$AG$46/(A43+'Acetone Calculations'!$AH$46))</f>
        <v>159.294408313553</v>
      </c>
      <c r="D43" s="19">
        <f t="shared" si="8"/>
        <v>1.57211357822406</v>
      </c>
      <c r="G43" s="4"/>
      <c r="H43" s="4"/>
    </row>
    <row r="44" customHeight="1" spans="1:8">
      <c r="A44" s="18">
        <v>75</v>
      </c>
      <c r="B44" s="18">
        <f t="shared" si="7"/>
        <v>348</v>
      </c>
      <c r="C44" s="17">
        <f>0.133322*10^('Acetone Calculations'!$AF$46-'Acetone Calculations'!$AG$46/(A44+'Acetone Calculations'!$AH$46))</f>
        <v>185.566884373637</v>
      </c>
      <c r="D44" s="19">
        <f t="shared" si="8"/>
        <v>1.83140275720342</v>
      </c>
      <c r="G44" s="4"/>
      <c r="H44" s="4"/>
    </row>
    <row r="45" customHeight="1" spans="1:8">
      <c r="A45" s="18">
        <v>80</v>
      </c>
      <c r="B45" s="18">
        <f t="shared" si="7"/>
        <v>353</v>
      </c>
      <c r="C45" s="17">
        <f>0.133322*10^('Acetone Calculations'!$AF$46-'Acetone Calculations'!$AG$46/(A45+'Acetone Calculations'!$AH$46))</f>
        <v>215.109401832173</v>
      </c>
      <c r="D45" s="19">
        <f t="shared" si="8"/>
        <v>2.12296473557535</v>
      </c>
      <c r="G45" s="4"/>
      <c r="H45" s="4"/>
    </row>
    <row r="46" customHeight="1" spans="1:8">
      <c r="A46" s="18">
        <v>85</v>
      </c>
      <c r="B46" s="18">
        <f t="shared" si="7"/>
        <v>358</v>
      </c>
      <c r="C46" s="17">
        <f>0.133322*10^('Acetone Calculations'!$AF$46-'Acetone Calculations'!$AG$46/(A46+'Acetone Calculations'!$AH$46))</f>
        <v>248.187179289508</v>
      </c>
      <c r="D46" s="19">
        <f t="shared" si="8"/>
        <v>2.44941701741434</v>
      </c>
      <c r="G46" s="4"/>
      <c r="H46" s="4"/>
    </row>
    <row r="47" customHeight="1" spans="1:8">
      <c r="A47" s="18">
        <v>90</v>
      </c>
      <c r="B47" s="18">
        <f t="shared" si="7"/>
        <v>363</v>
      </c>
      <c r="C47" s="17">
        <f>0.133322*10^('Acetone Calculations'!$AF$46-'Acetone Calculations'!$AG$46/(A47+'Acetone Calculations'!$AH$46))</f>
        <v>285.07294669806</v>
      </c>
      <c r="D47" s="19">
        <f t="shared" si="8"/>
        <v>2.81345123807609</v>
      </c>
      <c r="G47" s="4"/>
      <c r="H47" s="4"/>
    </row>
    <row r="48" customHeight="1" spans="1:8">
      <c r="A48" s="18">
        <v>95</v>
      </c>
      <c r="B48" s="18">
        <f t="shared" si="7"/>
        <v>368</v>
      </c>
      <c r="C48" s="17">
        <f>0.133322*10^('Acetone Calculations'!$AF$46-'Acetone Calculations'!$AG$46/(A48+'Acetone Calculations'!$AH$46))</f>
        <v>326.046213366959</v>
      </c>
      <c r="D48" s="19">
        <f t="shared" si="8"/>
        <v>3.21782593996506</v>
      </c>
      <c r="G48" s="4"/>
      <c r="H48" s="4"/>
    </row>
    <row r="49" customHeight="1" spans="1:8">
      <c r="A49" s="18">
        <v>100</v>
      </c>
      <c r="B49" s="18">
        <f t="shared" si="7"/>
        <v>373</v>
      </c>
      <c r="C49" s="17">
        <f>0.133322*10^('Acetone Calculations'!$AF$46-'Acetone Calculations'!$AG$46/(A49+'Acetone Calculations'!$AH$46))</f>
        <v>371.392515138427</v>
      </c>
      <c r="D49" s="19">
        <f t="shared" si="8"/>
        <v>3.66535914274292</v>
      </c>
      <c r="E49" t="s">
        <v>141</v>
      </c>
      <c r="G49" s="4"/>
      <c r="H49" s="4"/>
    </row>
    <row r="52" customHeight="1" spans="9:9">
      <c r="I52" s="23"/>
    </row>
  </sheetData>
  <mergeCells count="6">
    <mergeCell ref="A1:H1"/>
    <mergeCell ref="A2:B2"/>
    <mergeCell ref="C2:D2"/>
    <mergeCell ref="A26:H26"/>
    <mergeCell ref="A27:B27"/>
    <mergeCell ref="C27:D27"/>
  </mergeCells>
  <pageMargins left="0.7875" right="0.7875" top="1.025" bottom="1.025" header="0.7875" footer="0.7875"/>
  <pageSetup paperSize="1" orientation="portrait" horizontalDpi="300" verticalDpi="300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J2" sqref="J2:K2"/>
    </sheetView>
  </sheetViews>
  <sheetFormatPr defaultColWidth="9.14285714285714" defaultRowHeight="12.75"/>
  <cols>
    <col min="1" max="1" width="9.71428571428571" style="1"/>
    <col min="2" max="3" width="14.7142857142857" style="2" customWidth="1"/>
    <col min="4" max="8" width="14.7142857142857" style="3" customWidth="1"/>
    <col min="9" max="9" width="12.8571428571429"/>
    <col min="11" max="11" width="19.8571428571429"/>
  </cols>
  <sheetData>
    <row r="1" spans="2:8">
      <c r="B1" s="2" t="s">
        <v>142</v>
      </c>
      <c r="H1" s="3" t="s">
        <v>143</v>
      </c>
    </row>
    <row r="2" spans="1:2">
      <c r="A2" s="1" t="s">
        <v>98</v>
      </c>
      <c r="B2" s="4">
        <f>0.00095</f>
        <v>0.00095</v>
      </c>
    </row>
    <row r="3" spans="1:5">
      <c r="A3" s="1" t="s">
        <v>144</v>
      </c>
      <c r="B3" s="4">
        <f>0.000508</f>
        <v>0.000508</v>
      </c>
      <c r="D3" s="3" t="s">
        <v>145</v>
      </c>
      <c r="E3" s="3">
        <v>10</v>
      </c>
    </row>
    <row r="4" spans="1:5">
      <c r="A4" s="1" t="s">
        <v>146</v>
      </c>
      <c r="B4" s="4">
        <f>0.000017</f>
        <v>1.7e-5</v>
      </c>
      <c r="D4" s="3" t="s">
        <v>147</v>
      </c>
      <c r="E4" s="4">
        <f>E3+B3</f>
        <v>10.000508</v>
      </c>
    </row>
    <row r="5" ht="14.25" spans="1:5">
      <c r="A5" s="5" t="s">
        <v>148</v>
      </c>
      <c r="B5" s="4">
        <f>8.8541878188E-12</f>
        <v>8.8541878188e-12</v>
      </c>
      <c r="D5" s="3" t="s">
        <v>149</v>
      </c>
      <c r="E5" s="3">
        <v>1</v>
      </c>
    </row>
    <row r="6" spans="1:2">
      <c r="A6" s="6" t="s">
        <v>150</v>
      </c>
      <c r="B6" s="4">
        <f>IF(B2/B3&lt;=1,(2*PI()*$B$5)/(LN(8*$B$3/$B$2+$B$2/(4*$B$3))),$B$5*($B$2/$B$3+1.393+0.667*LN($B$2/$B$3+1.444)))</f>
        <v>3.59680536120498e-11</v>
      </c>
    </row>
    <row r="7" spans="1:2">
      <c r="A7" s="1" t="s">
        <v>151</v>
      </c>
      <c r="B7" s="4">
        <f>0.00000125663706127</f>
        <v>1.25663706127e-6</v>
      </c>
    </row>
    <row r="8" spans="1:2">
      <c r="A8" s="1" t="s">
        <v>152</v>
      </c>
      <c r="B8" s="7">
        <v>5000000000</v>
      </c>
    </row>
    <row r="11" spans="2:9">
      <c r="B11" s="2" t="s">
        <v>153</v>
      </c>
      <c r="E11" s="3" t="s">
        <v>154</v>
      </c>
      <c r="H11" t="s">
        <v>75</v>
      </c>
      <c r="I11" t="s">
        <v>76</v>
      </c>
    </row>
    <row r="12" spans="1:6">
      <c r="A12" s="1" t="s">
        <v>155</v>
      </c>
      <c r="B12" s="2" t="s">
        <v>156</v>
      </c>
      <c r="C12" s="2" t="s">
        <v>157</v>
      </c>
      <c r="D12" s="3" t="s">
        <v>158</v>
      </c>
      <c r="E12" s="3" t="s">
        <v>157</v>
      </c>
      <c r="F12" s="3" t="s">
        <v>158</v>
      </c>
    </row>
    <row r="13" spans="1:11">
      <c r="A13" s="1">
        <v>1</v>
      </c>
      <c r="B13" s="2">
        <f>IF($B$2/$B$3&lt;1,0.02*((A13-1)*(1-$B$2/$B$3)^2),0)</f>
        <v>0</v>
      </c>
      <c r="C13" s="2">
        <f>((A13+1)/2)+(((1+12*$B$3/$B$2)^(-1/2))*(A13-1)/2)+B13-(0.217*(A13-1)*$B$4/SQRT($B$2*$B$3))</f>
        <v>1</v>
      </c>
      <c r="D13" s="3">
        <f>SQRT($B$7*$B$5/C13)*(1/$B$6)</f>
        <v>92.7389896590353</v>
      </c>
      <c r="E13" s="3">
        <f>(A13+1)/2+(A13-1)/2*(1/SQRT(1+12*$B$3/$B$2))</f>
        <v>1</v>
      </c>
      <c r="F13" s="3">
        <f>(60/SQRT(E13))*LN((8*$B$3/$B$2)+($B$2/(4*$B$3)))</f>
        <v>93.4307260137241</v>
      </c>
      <c r="I13">
        <f t="shared" ref="I13:I22" si="0">(A13+1)/2+(A13-1)/2*(LN(PI()/2)+(1/A13)*LN(4/PI()))/(LN(8*$B$3/$B$2))</f>
        <v>1</v>
      </c>
      <c r="K13" s="1">
        <f>A13*$K$29+$E$5*(1-$K$29)^2/($E$5*(1-$K$29-$K$31)+$K$31)</f>
        <v>1</v>
      </c>
    </row>
    <row r="14" spans="1:11">
      <c r="A14" s="1">
        <v>2</v>
      </c>
      <c r="B14" s="2">
        <f t="shared" ref="B14:B22" si="1">IF($B$2/$B$3&lt;1,0.02*((A14-1)*(1-$B$2/$B$3)^2),0)</f>
        <v>0</v>
      </c>
      <c r="C14" s="2">
        <f t="shared" ref="C14:C22" si="2">((A14+1)/2)+(((1+12*$B$3/$B$2)^(-1/2))*(A14-1)/2)+B14-(0.217*(A14-1)*$B$4/SQRT($B$2*$B$3))</f>
        <v>1.67828459663374</v>
      </c>
      <c r="D14" s="3">
        <f t="shared" ref="D14:D22" si="3">SQRT($B$7*$B$5/C14)*(1/$B$6)</f>
        <v>71.5862406208146</v>
      </c>
      <c r="E14" s="3">
        <f t="shared" ref="E14:E22" si="4">(A14+1)/2+(A14-1)/2*(1/SQRT(1+12*$B$3/$B$2))</f>
        <v>1.68359484698626</v>
      </c>
      <c r="F14" s="3">
        <f t="shared" ref="F14:F22" si="5">(60/SQRT(E14))*LN((8*$B$3/$B$2)+($B$2/(4*$B$3)))</f>
        <v>72.0063719816887</v>
      </c>
      <c r="I14">
        <f t="shared" si="0"/>
        <v>1.69689724770329</v>
      </c>
      <c r="K14" s="1">
        <f t="shared" ref="K14:K22" si="6">A14*$K$29+$E$5*(1-$K$29)^2/($E$5*(1-$K$29-$K$31)+$K$31)</f>
        <v>1.69694150624839</v>
      </c>
    </row>
    <row r="15" spans="1:11">
      <c r="A15" s="1">
        <v>3</v>
      </c>
      <c r="B15" s="2">
        <f t="shared" si="1"/>
        <v>0</v>
      </c>
      <c r="C15" s="2">
        <f t="shared" si="2"/>
        <v>2.35656919326748</v>
      </c>
      <c r="D15" s="3">
        <f t="shared" si="3"/>
        <v>60.411867638793</v>
      </c>
      <c r="E15" s="3">
        <f t="shared" si="4"/>
        <v>2.36718969397252</v>
      </c>
      <c r="F15" s="3">
        <f t="shared" si="5"/>
        <v>60.7257927305</v>
      </c>
      <c r="I15">
        <f t="shared" si="0"/>
        <v>2.36609458068632</v>
      </c>
      <c r="K15" s="1">
        <f t="shared" si="6"/>
        <v>2.39388301249679</v>
      </c>
    </row>
    <row r="16" spans="1:11">
      <c r="A16" s="1">
        <v>4</v>
      </c>
      <c r="B16" s="2">
        <f t="shared" si="1"/>
        <v>0</v>
      </c>
      <c r="C16" s="2">
        <f t="shared" si="2"/>
        <v>3.03485378990122</v>
      </c>
      <c r="D16" s="3">
        <f t="shared" si="3"/>
        <v>53.2345360831754</v>
      </c>
      <c r="E16" s="3">
        <f t="shared" si="4"/>
        <v>3.05078454095879</v>
      </c>
      <c r="F16" s="3">
        <f t="shared" si="5"/>
        <v>53.491398827724</v>
      </c>
      <c r="I16">
        <f t="shared" si="0"/>
        <v>3.02836693498928</v>
      </c>
      <c r="K16" s="1">
        <f t="shared" si="6"/>
        <v>3.09082451874518</v>
      </c>
    </row>
    <row r="17" spans="1:11">
      <c r="A17" s="8">
        <v>4.38</v>
      </c>
      <c r="B17" s="9">
        <f t="shared" si="1"/>
        <v>0</v>
      </c>
      <c r="C17" s="9">
        <f t="shared" si="2"/>
        <v>3.29260193662204</v>
      </c>
      <c r="D17" s="10">
        <f t="shared" si="3"/>
        <v>51.1084541800782</v>
      </c>
      <c r="E17" s="10">
        <f t="shared" si="4"/>
        <v>3.31055058281357</v>
      </c>
      <c r="F17" s="10">
        <f t="shared" si="5"/>
        <v>51.3499008783185</v>
      </c>
      <c r="G17" s="10"/>
      <c r="H17" s="10"/>
      <c r="I17" s="11">
        <f t="shared" si="0"/>
        <v>3.27920132943723</v>
      </c>
      <c r="K17" s="1">
        <f t="shared" si="6"/>
        <v>3.35566229111957</v>
      </c>
    </row>
    <row r="18" spans="1:11">
      <c r="A18" s="1">
        <v>5</v>
      </c>
      <c r="B18" s="2">
        <f t="shared" si="1"/>
        <v>0</v>
      </c>
      <c r="C18" s="2">
        <f t="shared" si="2"/>
        <v>3.71313838653496</v>
      </c>
      <c r="D18" s="3">
        <f t="shared" si="3"/>
        <v>48.1273326415852</v>
      </c>
      <c r="E18" s="3">
        <f t="shared" si="4"/>
        <v>3.73437938794505</v>
      </c>
      <c r="F18" s="3">
        <f t="shared" si="5"/>
        <v>48.3482217077504</v>
      </c>
      <c r="I18">
        <f t="shared" si="0"/>
        <v>3.68786929782022</v>
      </c>
      <c r="K18" s="1">
        <f t="shared" si="6"/>
        <v>3.78776602499358</v>
      </c>
    </row>
    <row r="19" spans="1:11">
      <c r="A19" s="1">
        <v>6</v>
      </c>
      <c r="B19" s="2">
        <f t="shared" si="1"/>
        <v>0</v>
      </c>
      <c r="C19" s="2">
        <f t="shared" si="2"/>
        <v>4.3914229831687</v>
      </c>
      <c r="D19" s="3">
        <f t="shared" si="3"/>
        <v>44.2547330053609</v>
      </c>
      <c r="E19" s="3">
        <f t="shared" si="4"/>
        <v>4.41797423493131</v>
      </c>
      <c r="F19" s="3">
        <f t="shared" si="5"/>
        <v>44.4506518602305</v>
      </c>
      <c r="I19">
        <f t="shared" si="0"/>
        <v>4.34598666491514</v>
      </c>
      <c r="K19" s="1">
        <f t="shared" si="6"/>
        <v>4.48470753124197</v>
      </c>
    </row>
    <row r="20" spans="1:11">
      <c r="A20" s="1">
        <v>7</v>
      </c>
      <c r="B20" s="2">
        <f t="shared" si="1"/>
        <v>0</v>
      </c>
      <c r="C20" s="2">
        <f t="shared" si="2"/>
        <v>5.06970757980244</v>
      </c>
      <c r="D20" s="3">
        <f t="shared" si="3"/>
        <v>41.1880190735391</v>
      </c>
      <c r="E20" s="3">
        <f t="shared" si="4"/>
        <v>5.10156908191758</v>
      </c>
      <c r="F20" s="3">
        <f t="shared" si="5"/>
        <v>41.3654580386872</v>
      </c>
      <c r="I20">
        <f t="shared" si="0"/>
        <v>5.00331260587519</v>
      </c>
      <c r="K20" s="1">
        <f t="shared" si="6"/>
        <v>5.18164903749037</v>
      </c>
    </row>
    <row r="21" spans="1:11">
      <c r="A21" s="1">
        <v>8</v>
      </c>
      <c r="B21" s="2">
        <f t="shared" si="1"/>
        <v>0</v>
      </c>
      <c r="C21" s="2">
        <f t="shared" si="2"/>
        <v>5.74799217643618</v>
      </c>
      <c r="D21" s="3">
        <f t="shared" si="3"/>
        <v>38.6815863155317</v>
      </c>
      <c r="E21" s="3">
        <f t="shared" si="4"/>
        <v>5.78516392890384</v>
      </c>
      <c r="F21" s="3">
        <f t="shared" si="5"/>
        <v>38.8447104689355</v>
      </c>
      <c r="I21">
        <f t="shared" si="0"/>
        <v>5.66014390550096</v>
      </c>
      <c r="K21" s="1">
        <f t="shared" si="6"/>
        <v>5.87859054373876</v>
      </c>
    </row>
    <row r="22" spans="1:11">
      <c r="A22" s="1">
        <v>9</v>
      </c>
      <c r="B22" s="2">
        <f t="shared" si="1"/>
        <v>0</v>
      </c>
      <c r="C22" s="2">
        <f t="shared" si="2"/>
        <v>6.42627677306992</v>
      </c>
      <c r="D22" s="3">
        <f t="shared" si="3"/>
        <v>36.5832805065481</v>
      </c>
      <c r="E22" s="3">
        <f t="shared" si="4"/>
        <v>6.4687587758901</v>
      </c>
      <c r="F22" s="3">
        <f t="shared" si="5"/>
        <v>36.7349324374424</v>
      </c>
      <c r="I22">
        <f t="shared" si="0"/>
        <v>6.3166454442372</v>
      </c>
      <c r="K22" s="1">
        <f t="shared" si="6"/>
        <v>6.57553204998716</v>
      </c>
    </row>
    <row r="23" spans="11:11">
      <c r="K23" t="s">
        <v>92</v>
      </c>
    </row>
    <row r="24" spans="11:11">
      <c r="K24" s="12">
        <f>B2+(2*B3/PI())*LN(17.08*(B2/(2*B3)+0.92))</f>
        <v>0.00206762011210206</v>
      </c>
    </row>
    <row r="25" spans="11:11">
      <c r="K25" t="s">
        <v>95</v>
      </c>
    </row>
    <row r="26" spans="11:11">
      <c r="K26" s="12">
        <f>(2*$B$3/PI())*ATAN((PI()/((PI()*K24)/(2*$B$3)-2))*(($E$4/$B$3)-1))</f>
        <v>0.000507977025228747</v>
      </c>
    </row>
    <row r="28" spans="11:11">
      <c r="K28" t="s">
        <v>96</v>
      </c>
    </row>
    <row r="29" spans="11:11">
      <c r="K29">
        <f>1-0.5*($B$3/$K$24)*LN((PI()*$K$24/$B$3)-1)</f>
        <v>0.696941506248394</v>
      </c>
    </row>
    <row r="30" spans="11:11">
      <c r="K30" t="s">
        <v>97</v>
      </c>
    </row>
    <row r="31" spans="11:11">
      <c r="K31">
        <f>1-K29-0.5*((B3-K26)/K24)*LN((PI()*K24/B3)*(COS(K26*PI()/(2*B3)))/(PI()*(E4/B3-0.5)+(K26*PI()/(2*B3)))+SIN(K26*PI()/(2*B3)))</f>
        <v>0.303058493751538</v>
      </c>
    </row>
  </sheetData>
  <mergeCells count="2">
    <mergeCell ref="B11:D11"/>
    <mergeCell ref="E11:F11"/>
  </mergeCells>
  <hyperlinks>
    <hyperlink ref="A5" r:id="rId2" display="E_0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LibreOffice/25.2.2.2$Windows_X86_64 LibreOffice_project/7370d4be9e3cf6031a51beef54ff3bda878e3fac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H2O Calculations</vt:lpstr>
      <vt:lpstr>Calculo de Dk H2O</vt:lpstr>
      <vt:lpstr>Calculo de Fase H2O</vt:lpstr>
      <vt:lpstr>Acetone Calculations</vt:lpstr>
      <vt:lpstr>Calculo de Dk Acetona</vt:lpstr>
      <vt:lpstr>Calculo de Fase Acetona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Anjos de Souza</cp:lastModifiedBy>
  <cp:revision>8</cp:revision>
  <dcterms:created xsi:type="dcterms:W3CDTF">2025-04-02T19:15:00Z</dcterms:created>
  <dcterms:modified xsi:type="dcterms:W3CDTF">2025-08-01T01:25:54Z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6885B2F6BF2A43669B38254B8803624D_12</vt:lpwstr>
  </property>
  <property fmtid="{D5CDD505-2E9C-101B-9397-08002B2CF9AE}" pid="3" name="KSOProductBuildVer">
    <vt:lpwstr>1033-12.2.0.21931</vt:lpwstr>
  </property>
</Properties>
</file>